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ADME" sheetId="1" state="visible" r:id="rId3"/>
    <sheet name="0_Respondent_Metadata" sheetId="2" state="visible" r:id="rId4"/>
    <sheet name="Environment_Name_Guide" sheetId="3" state="visible" r:id="rId5"/>
    <sheet name="Questionnaire" sheetId="4" state="visible" r:id="rId6"/>
    <sheet name="Answer_Key" sheetId="5" state="visible" r:id="rId7"/>
    <sheet name="Scoring_Model" sheetId="6" state="visible" r:id="rId8"/>
    <sheet name="Evidence_Confidence" sheetId="7" state="visible" r:id="rId9"/>
    <sheet name="Output_Interpretation" sheetId="8" state="visible" r:id="rId10"/>
    <sheet name="Survey_Methodology_Check" sheetId="9" state="visible" r:id="rId11"/>
    <sheet name="Validation_Checks" sheetId="10" state="visible" r:id="rId12"/>
    <sheet name="v3_1_Correction_Log"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<sst xmlns="http://schemas.openxmlformats.org/spreadsheetml/2006/main" count="1993" uniqueCount="985">
  <si>
    <t xml:space="preserve">ST_Target_Observed_Environment_Diagnostic.xlsx</t>
  </si>
  <si>
    <t xml:space="preserve">WORKBOOK METADATA</t>
  </si>
  <si>
    <t xml:space="preserve">Workbook name</t>
  </si>
  <si>
    <t xml:space="preserve">Version</t>
  </si>
  <si>
    <t xml:space="preserve">3.1 — May 2026 (additive evidence-architecture rebuild on April 2026 v1.0 base)</t>
  </si>
  <si>
    <t xml:space="preserve">Purpose</t>
  </si>
  <si>
    <t xml:space="preserve">Diagnose the observed interaction environment of an acquisition target company from the perspective of an acquiring-side respondent</t>
  </si>
  <si>
    <t xml:space="preserve">Respondent profile</t>
  </si>
  <si>
    <t xml:space="preserve">Acquiring-side deal team member, corporate development professional, or M&amp;A advisor with direct diligence exposure to the target company</t>
  </si>
  <si>
    <t xml:space="preserve">Diagnostic scope</t>
  </si>
  <si>
    <t xml:space="preserve">External-observer diagnosis only. This instrument does not claim access to the target company's internal self-understanding. All answers must be based on observable evidence from diligence, management meetings, negotiation behavior, data room materials, and other pre-close signals.</t>
  </si>
  <si>
    <t xml:space="preserve">Terminology note</t>
  </si>
  <si>
    <t xml:space="preserve">SFP/SFJ (The Franchise Machine) replaces all legacy the legacy two-letter temperament code references. the legacy two-letter temperament code must not appear anywhere in this workbook or in practitioner materials.</t>
  </si>
  <si>
    <t xml:space="preserve">Companion files</t>
  </si>
  <si>
    <t xml:space="preserve">ST_Acquirer_Environment_Module.xlsx · ST_Target_Self_Assessment_Module.xlsx · ST_ECS_to_Valuation_Bridge_v1_1.xlsx</t>
  </si>
  <si>
    <t xml:space="preserve">INSTRUCTIONS FOR USE</t>
  </si>
  <si>
    <t xml:space="preserve">1. Begin on the Evidence_Confidence sheet. Answer EVID Q1–EVID Q4 to establish your evidence depth and calibrate confidence.</t>
  </si>
  <si>
    <t xml:space="preserve">2. Complete the Questionnaire sheet. Answer TED Q1–TED Q18 by entering A, B, C, or D in the Selected_Answer column.</t>
  </si>
  <si>
    <t xml:space="preserve">3. The Scoring_Model sheet calculates environment scores automatically as you complete the questionnaire.</t>
  </si>
  <si>
    <t xml:space="preserve">4. The Output_Interpretation sheet generates the primary observed environment, confidence level, and integration risk note.</t>
  </si>
  <si>
    <t xml:space="preserve">5. Do not enter answers based on what you expect the target to be — answer based on what you actually observed.</t>
  </si>
  <si>
    <t xml:space="preserve">6. If you observed insufficient evidence to answer a diagnostic question, leave it blank. Blank responses do not contribute to environment scores.</t>
  </si>
  <si>
    <t xml:space="preserve">7. The Validation_Checks sheet confirms workbook integrity after completion.</t>
  </si>
  <si>
    <t xml:space="preserve">IMPORTANT — EXTERNAL OBSERVER DIAGNOSTIC</t>
  </si>
  <si>
    <t xml:space="preserve">This workbook diagnoses the observed interaction environment of an acquisition target company from the perspective of an acquiring-side respondent. It does not claim direct access to the target company's internal self-understanding. All answers should be based on observable evidence from diligence, management meetings, negotiation behavior, data room materials, and other pre-close signals.</t>
  </si>
  <si>
    <t xml:space="preserve">V3.1 ADDITIONS</t>
  </si>
  <si>
    <t xml:space="preserve">• Schema dependency: This workbook now inherits enums and record types from ST_Canonical_Schema.xlsx v1.0.</t>
  </si>
  <si>
    <t xml:space="preserve">• Per-question direct-observation gate added to all 18 TED questions (in addition to EVID Q1–Q4 evidence calibration block).</t>
  </si>
  <si>
    <t xml:space="preserve">• Per-answer evidence machinery: evidenceType, knowledgeLevel, confidence, reliabilityFlags fields added per TED answer.</t>
  </si>
  <si>
    <t xml:space="preserve">• Option E added to every TED question. Replaces "leave blank" mechanism with explicit "cannot answer from direct observation" — diagnostically meaningful.</t>
  </si>
  <si>
    <t xml:space="preserve">• New TED Q19 added: NF/SFP discriminator from acquirer-observed perspective. Closes the 4-slot coverage gap flagged by the source v1.0 Validation_Checks sheet.</t>
  </si>
  <si>
    <t xml:space="preserve">• PASS verdicts in Survey_Methodology_Check replaced with "Provisional pass — internal review" pending field testing.</t>
  </si>
  <si>
    <t xml:space="preserve">• Total questions: 23 (4 EVID + 19 TED). Estimated completion time with v3.1 evidence-machinery overhead: 18–25 minutes.</t>
  </si>
  <si>
    <t xml:space="preserve">• Filename preservation: saved as exact source filename. No version markers in filename per project rule.</t>
  </si>
  <si>
    <t xml:space="preserve">RESPONDENT METADATA · acquirer-side observer scope</t>
  </si>
  <si>
    <t xml:space="preserve">This is an acquirer-side observer instrument. Side is locked to "acquirer." Declare your role and access scope honestly. Per ST_Canonical_Schema sheet 16_OverridePrecedence: this observer evidence outweighs target self-assessment (Step 2-C) in canonical scoring where divergence exists.</t>
  </si>
  <si>
    <t xml:space="preserve">Field</t>
  </si>
  <si>
    <t xml:space="preserve">Value (your input)</t>
  </si>
  <si>
    <t xml:space="preserve">Type / Allowed values</t>
  </si>
  <si>
    <t xml:space="preserve">Notes</t>
  </si>
  <si>
    <t xml:space="preserve">Side</t>
  </si>
  <si>
    <t xml:space="preserve">acquirer</t>
  </si>
  <si>
    <t xml:space="preserve">Fixed: acquirer for this instrument</t>
  </si>
  <si>
    <t xml:space="preserve">You are describing the TARGET — not your own organisation.</t>
  </si>
  <si>
    <t xml:space="preserve">Role code</t>
  </si>
  <si>
    <t xml:space="preserve">See ST_Canonical_Schema.xlsx sheet 2_Roles (acquirer roles)</t>
  </si>
  <si>
    <t xml:space="preserve">Examples: deal_lead, integration_lead, people_lead, commercial_lead, finance_lead, legal_lead, board_observer, lead_banker, consultant.</t>
  </si>
  <si>
    <t xml:space="preserve">Role free text</t>
  </si>
  <si>
    <t xml:space="preserve">Optional. Required only if role code = unspecified.</t>
  </si>
  <si>
    <t xml:space="preserve">Seniority level</t>
  </si>
  <si>
    <t xml:space="preserve">c_suite / vp / director / manager / ic / external</t>
  </si>
  <si>
    <t xml:space="preserve">Decision-authority altitude.</t>
  </si>
  <si>
    <t xml:space="preserve">Diligence depth</t>
  </si>
  <si>
    <t xml:space="preserve">lead / functional / observer / advisor</t>
  </si>
  <si>
    <t xml:space="preserve">Your role in the diligence process for this target.</t>
  </si>
  <si>
    <t xml:space="preserve">Diligence duration (weeks)</t>
  </si>
  <si>
    <t xml:space="preserve">Integer</t>
  </si>
  <si>
    <t xml:space="preserve">How long you have been engaged with this target. &lt; 4 weeks downweighted to supplementary.</t>
  </si>
  <si>
    <t xml:space="preserve">Direct target leadership interactions</t>
  </si>
  <si>
    <t xml:space="preserve">Number of direct meetings with target C-suite (informs EVID Q1).</t>
  </si>
  <si>
    <t xml:space="preserve">Engagement depth</t>
  </si>
  <si>
    <t xml:space="preserve">deal_team_member / interview_only / written_only</t>
  </si>
  <si>
    <t xml:space="preserve">How you engaged with this diagnostic.</t>
  </si>
  <si>
    <t xml:space="preserve">Respondent ID (internal)</t>
  </si>
  <si>
    <t xml:space="preserve">Auto-generated by engine</t>
  </si>
  <si>
    <t xml:space="preserve">Leave blank.</t>
  </si>
  <si>
    <t xml:space="preserve">Deal ID</t>
  </si>
  <si>
    <t xml:space="preserve">Auto-generated or supplied by deal team</t>
  </si>
  <si>
    <t xml:space="preserve">Leave blank if standalone.</t>
  </si>
  <si>
    <t xml:space="preserve">ENVIRONMENT NAME GUIDE — ST Canonical Reference</t>
  </si>
  <si>
    <t xml:space="preserve">Environment_Code</t>
  </si>
  <si>
    <t xml:space="preserve">Environment_Name</t>
  </si>
  <si>
    <t xml:space="preserve">Short_Alias</t>
  </si>
  <si>
    <t xml:space="preserve">Diagnostic_Signature</t>
  </si>
  <si>
    <t xml:space="preserve">Common_Facade_Risk</t>
  </si>
  <si>
    <t xml:space="preserve">Do_Not_Confuse_With</t>
  </si>
  <si>
    <t xml:space="preserve">NF/NT</t>
  </si>
  <si>
    <t xml:space="preserve">The Idea Lab</t>
  </si>
  <si>
    <t xml:space="preserve">Idea Lab</t>
  </si>
  <si>
    <t xml:space="preserve">Objective knowledge · conceptual exchange · intellectual synthesis · precision of ideas · cognitive alignment</t>
  </si>
  <si>
    <t xml:space="preserve">May present as collegial or democratic; the real test is whether the best argument wins regardless of seniority</t>
  </si>
  <si>
    <t xml:space="preserve">The Performance Arena — NT/STJ has hierarchy and accountability; NF/NT has neither; confusion arises when both appear intellectual</t>
  </si>
  <si>
    <t xml:space="preserve">NF/SFJ</t>
  </si>
  <si>
    <t xml:space="preserve">The Mission Field</t>
  </si>
  <si>
    <t xml:space="preserve">Mission Field</t>
  </si>
  <si>
    <t xml:space="preserve">Higher purpose · sacred narrative · value-language · belief compliance · service · moralised belonging</t>
  </si>
  <si>
    <t xml:space="preserve">Mission narrative can mask rigid hierarchy, sacrifice expectations, or intolerance of external accountability</t>
  </si>
  <si>
    <t xml:space="preserve">The Creative Commons — NF/SFP produces through authentic expression; NF/SFJ produces through moral conviction and belonging</t>
  </si>
  <si>
    <t xml:space="preserve">NF/SFP</t>
  </si>
  <si>
    <t xml:space="preserve">The Creative Commons</t>
  </si>
  <si>
    <t xml:space="preserve">Creative Commons</t>
  </si>
  <si>
    <t xml:space="preserve">Creative expression · emotional authenticity · aesthetic richness · belonging through expression</t>
  </si>
  <si>
    <t xml:space="preserve">Authentic voice culture can conceal lack of financial discipline or accountability structures</t>
  </si>
  <si>
    <t xml:space="preserve">The Mission Field — NF/SFJ is driven by moral cause; NF/SFP is driven by creative authenticity</t>
  </si>
  <si>
    <t xml:space="preserve">NT/STJ</t>
  </si>
  <si>
    <t xml:space="preserve">The Performance Arena</t>
  </si>
  <si>
    <t xml:space="preserve">Performance Arena</t>
  </si>
  <si>
    <t xml:space="preserve">Measurable results · disciplined hierarchy · strategic accountability · performance-based authority</t>
  </si>
  <si>
    <t xml:space="preserve">High performance language can mask loyalty-based exceptions for senior insiders or political protection</t>
  </si>
  <si>
    <t xml:space="preserve">The Idea Lab — NF/NT generates ideas with no hierarchy; NT/STJ executes with measurable discipline</t>
  </si>
  <si>
    <t xml:space="preserve">NT/STP</t>
  </si>
  <si>
    <t xml:space="preserve">The Disruption Lab</t>
  </si>
  <si>
    <t xml:space="preserve">Disruption Lab</t>
  </si>
  <si>
    <t xml:space="preserve">Rapid testing · applied innovation · tactical experimentation · prototypes · failed experiments as information</t>
  </si>
  <si>
    <t xml:space="preserve">Speed and iteration language can conceal absence of governance, financial controls, or safety infrastructure</t>
  </si>
  <si>
    <t xml:space="preserve">The Performance Arena — NT/STJ enforces accountability through results; NT/STP tolerates failed experiments as part of learning</t>
  </si>
  <si>
    <t xml:space="preserve">SFJ/SFP</t>
  </si>
  <si>
    <t xml:space="preserve">The Hometown Network</t>
  </si>
  <si>
    <t xml:space="preserve">Hometown Network</t>
  </si>
  <si>
    <t xml:space="preserve">Belonging · loyalty · stability · tenure · trusted relationships · community comfort</t>
  </si>
  <si>
    <t xml:space="preserve">Warmth and loyalty culture can mask underperformance tolerance, exclusion of outsiders, or resistance to change</t>
  </si>
  <si>
    <t xml:space="preserve">The Franchise Machine — SFP/SFJ scales compliance through systems; SFJ/SFP maintains belonging through relationships</t>
  </si>
  <si>
    <t xml:space="preserve">SFP/SFJ</t>
  </si>
  <si>
    <t xml:space="preserve">The Franchise Machine</t>
  </si>
  <si>
    <t xml:space="preserve">Franchise Machine</t>
  </si>
  <si>
    <t xml:space="preserve">Consumption · compliance · regulation · gratification · scalable extraction through standardised systems</t>
  </si>
  <si>
    <t xml:space="preserve">Apparent compliance and engagement can conceal low genuine commitment, extraction dynamics, or surface-only culture</t>
  </si>
  <si>
    <t xml:space="preserve">The Hometown Network — SFJ/SFP is organic local belonging; SFP/SFJ is engineered scalable compliance</t>
  </si>
  <si>
    <t xml:space="preserve">STJ/STP</t>
  </si>
  <si>
    <t xml:space="preserve">The Power Racket</t>
  </si>
  <si>
    <t xml:space="preserve">Power Racket</t>
  </si>
  <si>
    <t xml:space="preserve">Coercive hierarchy · punishment capacity · material strength · zero-sum control</t>
  </si>
  <si>
    <t xml:space="preserve">Professional authority language can mask coercive structures; punishment may be indirect (exclusion, resource denial)</t>
  </si>
  <si>
    <t xml:space="preserve">The Enforcer Network — STP/STJ recruits and enforces; STJ/STP holds and punishes</t>
  </si>
  <si>
    <t xml:space="preserve">STP/STJ</t>
  </si>
  <si>
    <t xml:space="preserve">The Enforcer Network</t>
  </si>
  <si>
    <t xml:space="preserve">Enforcer Network</t>
  </si>
  <si>
    <t xml:space="preserve">Recruitment into extraction · enforcement infrastructure · reward/protection exchange · operational coercion</t>
  </si>
  <si>
    <t xml:space="preserve">Loyalty and protection narrative can mask recruitment into a coercive network; early rewards used to establish obligation</t>
  </si>
  <si>
    <t xml:space="preserve">The Power Racket — STJ/STP controls through punishment capacity; STP/STJ recruits through reward/protection exchange</t>
  </si>
  <si>
    <t xml:space="preserve">TARGET ENVIRONMENT DIAGNOSTIC — Questionnaire</t>
  </si>
  <si>
    <t xml:space="preserve">Question_ID</t>
  </si>
  <si>
    <t xml:space="preserve">Section</t>
  </si>
  <si>
    <t xml:space="preserve">Question_Text</t>
  </si>
  <si>
    <t xml:space="preserve">Option_A</t>
  </si>
  <si>
    <t xml:space="preserve">Option_B</t>
  </si>
  <si>
    <t xml:space="preserve">Option_C</t>
  </si>
  <si>
    <t xml:space="preserve">Option_D</t>
  </si>
  <si>
    <t xml:space="preserve">A_Environment</t>
  </si>
  <si>
    <t xml:space="preserve">B_Environment</t>
  </si>
  <si>
    <t xml:space="preserve">C_Environment</t>
  </si>
  <si>
    <t xml:space="preserve">D_Environment</t>
  </si>
  <si>
    <t xml:space="preserve">Primary_Domain</t>
  </si>
  <si>
    <t xml:space="preserve">Secondary_Domain</t>
  </si>
  <si>
    <t xml:space="preserve">Evidence_Type</t>
  </si>
  <si>
    <t xml:space="preserve">Survey_Design_Note</t>
  </si>
  <si>
    <t xml:space="preserve">Selected_Answer</t>
  </si>
  <si>
    <t xml:space="preserve">Option_E (v3.1)</t>
  </si>
  <si>
    <t xml:space="preserve">E_Environment (v3.1)</t>
  </si>
  <si>
    <t xml:space="preserve">DirectObservation_Gate (v3.1)</t>
  </si>
  <si>
    <t xml:space="preserve">EvidenceType (v3.1)</t>
  </si>
  <si>
    <t xml:space="preserve">KnowledgeLevel (v3.1)</t>
  </si>
  <si>
    <t xml:space="preserve">Confidence (v3.1)</t>
  </si>
  <si>
    <t xml:space="preserve">ReliabilityFlags (v3.1)</t>
  </si>
  <si>
    <t xml:space="preserve">Observed_Roles (v3.1)</t>
  </si>
  <si>
    <t xml:space="preserve">Evidence_Reference (v3.1)</t>
  </si>
  <si>
    <t xml:space="preserve">Respondent_Notes (v3.1)</t>
  </si>
  <si>
    <t xml:space="preserve">EVID Q1</t>
  </si>
  <si>
    <t xml:space="preserve">Evidence Calibration</t>
  </si>
  <si>
    <t xml:space="preserve">How many direct interactions did your team have with the target company's senior leadership (C-suite and direct reports) during diligence?</t>
  </si>
  <si>
    <t xml:space="preserve">Six or more structured sessions across multiple functions</t>
  </si>
  <si>
    <t xml:space="preserve">Three to five sessions, at least two of which involved substantive discussion beyond prepared materials</t>
  </si>
  <si>
    <t xml:space="preserve">One or two introductory meetings; limited unscripted interaction</t>
  </si>
  <si>
    <t xml:space="preserve">No direct leadership interaction; assessment based on secondary materials only</t>
  </si>
  <si>
    <t xml:space="preserve">N/A</t>
  </si>
  <si>
    <t xml:space="preserve">Evidence Depth</t>
  </si>
  <si>
    <t xml:space="preserve">Leadership Access</t>
  </si>
  <si>
    <t xml:space="preserve">Management meetings · Functional leader interviews</t>
  </si>
  <si>
    <t xml:space="preserve">Single-dimension evidence-depth question. TDM: clear ordinal scale from richest to weakest. AAPOR: specific and unambiguous.</t>
  </si>
  <si>
    <t xml:space="preserve">EVID Q2</t>
  </si>
  <si>
    <t xml:space="preserve">Which of the following best describes the range of data room and documentary evidence your team reviewed?</t>
  </si>
  <si>
    <t xml:space="preserve">Reviewed financials, KPI history, org charts, compensation data, and process documentation in full</t>
  </si>
  <si>
    <t xml:space="preserve">Reviewed financials and org charts; partial access to KPI history or compensation data</t>
  </si>
  <si>
    <t xml:space="preserve">Reviewed summary financials only; limited or no access to operational or people data</t>
  </si>
  <si>
    <t xml:space="preserve">No meaningful data room access; relying on management-provided narrative only</t>
  </si>
  <si>
    <t xml:space="preserve">Evidence Breadth</t>
  </si>
  <si>
    <t xml:space="preserve">Documentary Coverage</t>
  </si>
  <si>
    <t xml:space="preserve">Data room materials · Financial model · Org chart · Compensation data</t>
  </si>
  <si>
    <t xml:space="preserve">Covers range of evidence types. TDM: options are mutually exclusive and ordered. AAPOR: avoids technical jargon; accessible to deal professionals.</t>
  </si>
  <si>
    <t xml:space="preserve">EVID Q3</t>
  </si>
  <si>
    <t xml:space="preserve">During diligence, did your team observe any episode where the target company faced unexpected pressure — a missed target, a bad-news disclosure, a disagreement, or an unanticipated question?</t>
  </si>
  <si>
    <t xml:space="preserve">Yes — multiple pressure episodes observed, with clear behavioral data on how the target responded</t>
  </si>
  <si>
    <t xml:space="preserve">Yes — at least one pressure episode observed; response behavior partially visible</t>
  </si>
  <si>
    <t xml:space="preserve">Indirectly — we heard about pressure episodes but did not observe target behavior firsthand</t>
  </si>
  <si>
    <t xml:space="preserve">No — diligence was smooth and scripted; no unplanned situations arose</t>
  </si>
  <si>
    <t xml:space="preserve">Pressure Exposure</t>
  </si>
  <si>
    <t xml:space="preserve">Conflict Observation</t>
  </si>
  <si>
    <t xml:space="preserve">Negotiation behavior · Bad-news episode · Conflict handling</t>
  </si>
  <si>
    <t xml:space="preserve">Critical behavioral signal question. TDM: grounded in observable episode. AAPOR: does not lead respondent toward any specific interpretation.</t>
  </si>
  <si>
    <t xml:space="preserve">EVID Q4</t>
  </si>
  <si>
    <t xml:space="preserve">How closely did the target company's observable behavior during diligence match the official narrative they presented about their culture and values?</t>
  </si>
  <si>
    <t xml:space="preserve">Strong match — observable behavior consistently aligned with stated culture across multiple situations</t>
  </si>
  <si>
    <t xml:space="preserve">Partial match — most behavior aligned, but at least one notable inconsistency was observed</t>
  </si>
  <si>
    <t xml:space="preserve">Notable gap — observable behavior and stated culture diverged in more than one situation</t>
  </si>
  <si>
    <t xml:space="preserve">Clear gap — the official narrative appeared to be a deliberate presentation disconnected from operating behavior</t>
  </si>
  <si>
    <t xml:space="preserve">Facade vs Operating Core</t>
  </si>
  <si>
    <t xml:space="preserve">Narrative Validity</t>
  </si>
  <si>
    <t xml:space="preserve">Management meetings · Negotiation behavior · Employee interviews</t>
  </si>
  <si>
    <t xml:space="preserve">Facade/core distinction question. TDM: specific behavioral contrast avoids social desirability. AAPOR: graduated scale with concrete anchors.</t>
  </si>
  <si>
    <t xml:space="preserve">TED Q1</t>
  </si>
  <si>
    <t xml:space="preserve">Decision Logic</t>
  </si>
  <si>
    <t xml:space="preserve">Based on what you observed during management meetings and diligence sessions, when the target company faced a significant strategic disagreement, what most reliably determined the final outcome?</t>
  </si>
  <si>
    <t xml:space="preserve">The position supported by the strongest analysis or most rigorous evidence prevailed, regardless of who held it</t>
  </si>
  <si>
    <t xml:space="preserve">The position held by the most senior person in the room was adopted, even when other evidence pointed differently</t>
  </si>
  <si>
    <t xml:space="preserve">The position that best aligned with the company's stated mission or values was chosen, even at the cost of analytical clarity</t>
  </si>
  <si>
    <t xml:space="preserve">The position favored by whoever controlled the most critical resources or relationships was adopted</t>
  </si>
  <si>
    <t xml:space="preserve">Authority Signal</t>
  </si>
  <si>
    <t xml:space="preserve">Management meetings · Negotiation behavior</t>
  </si>
  <si>
    <t xml:space="preserve">Covers how authority and evidence interact in decisions. Four options are mutually exclusive and capture distinct environment signals.</t>
  </si>
  <si>
    <t xml:space="preserve">I cannot answer from direct observation — observable evidence on this dimension was not gathered during diligence.</t>
  </si>
  <si>
    <t xml:space="preserve">no_environment_signal</t>
  </si>
  <si>
    <t xml:space="preserve">TED Q2</t>
  </si>
  <si>
    <t xml:space="preserve">Promotion and Protection Logic</t>
  </si>
  <si>
    <t xml:space="preserve">Based on diligence data — including org charts, tenure records, and any compensation or retention information available — what pattern best described who received advancement or protection in the target organization?</t>
  </si>
  <si>
    <t xml:space="preserve">People who delivered the most clearly measurable results, tracked against transparent metrics</t>
  </si>
  <si>
    <t xml:space="preserve">People who demonstrated the strongest loyalty to senior leadership or longest organizational tenure</t>
  </si>
  <si>
    <t xml:space="preserve">People who visibly embodied the company's values, mission narrative, or cultural identity</t>
  </si>
  <si>
    <t xml:space="preserve">People who proved they could generate revenue, enforce compliance, or extract value from the system</t>
  </si>
  <si>
    <t xml:space="preserve">Promotion Logic</t>
  </si>
  <si>
    <t xml:space="preserve">Retention Signal</t>
  </si>
  <si>
    <t xml:space="preserve">Compensation data · Org chart · Promotion/retention data</t>
  </si>
  <si>
    <t xml:space="preserve">Promotion pattern is one of the most diagnostic signals for environment type. Options cover four distinct logics.</t>
  </si>
  <si>
    <t xml:space="preserve">TED Q3</t>
  </si>
  <si>
    <t xml:space="preserve">Resource Allocation</t>
  </si>
  <si>
    <t xml:space="preserve">Based on what you observed in the financial model, KPI history, and management discussions, how did the target company appear to allocate discretionary resources (budget, headcount, attention) at the margin?</t>
  </si>
  <si>
    <t xml:space="preserve">Toward experimental or prototype initiatives with unclear payoff but high learning potential</t>
  </si>
  <si>
    <t xml:space="preserve">Toward activities that protected or expanded compliance, regulatory standing, or customer volume</t>
  </si>
  <si>
    <t xml:space="preserve">Toward projects with the clearest measurable return and the most rigorous business case</t>
  </si>
  <si>
    <t xml:space="preserve">Toward creative, aesthetic, or values-expressive initiatives with qualitative rather than quantitative justification</t>
  </si>
  <si>
    <t xml:space="preserve">Capital Deployment</t>
  </si>
  <si>
    <t xml:space="preserve">Data room · Financial model · KPI history</t>
  </si>
  <si>
    <t xml:space="preserve">Resource allocation reveals revealed preference, not stated values. Options are operationally distinct.</t>
  </si>
  <si>
    <t xml:space="preserve">TED Q4</t>
  </si>
  <si>
    <t xml:space="preserve">Conflict Handling</t>
  </si>
  <si>
    <t xml:space="preserve">When the target company encountered internal disagreement or conflict during diligence — whether observed directly or described by management — how did they characteristically handle it?</t>
  </si>
  <si>
    <t xml:space="preserve">Disagreement was absorbed and resolved through structured process; outcomes were documented and enforced</t>
  </si>
  <si>
    <t xml:space="preserve">Disagreement was surfaced and resolved intellectually; the better argument was expected to win</t>
  </si>
  <si>
    <t xml:space="preserve">Disagreement was suppressed or re-framed in values language; dissent was treated as a cultural problem</t>
  </si>
  <si>
    <t xml:space="preserve">Disagreement was resolved by whoever held the stronger positional power or controlled the most critical dependencies</t>
  </si>
  <si>
    <t xml:space="preserve">Dissent Response</t>
  </si>
  <si>
    <t xml:space="preserve">Management meetings · Negotiation behavior · Bad-news episode</t>
  </si>
  <si>
    <t xml:space="preserve">Conflict resolution pattern distinguishes NT/STJ (procedural), NF/NT (intellectual), NF/SFJ (moral suppression), STJ/STP (power).</t>
  </si>
  <si>
    <t xml:space="preserve">TED Q5</t>
  </si>
  <si>
    <t xml:space="preserve">Authority and Status</t>
  </si>
  <si>
    <t xml:space="preserve">Based on how the target company's leadership conducted themselves in management presentations and diligence interactions, how was authority most visibly established or demonstrated?</t>
  </si>
  <si>
    <t xml:space="preserve">Through demonstrated command of data, metrics, and competitive position</t>
  </si>
  <si>
    <t xml:space="preserve">Through control of relationships, enforcement capacity, or visible punishment of deviation</t>
  </si>
  <si>
    <t xml:space="preserve">Through personal loyalty networks and tenure-based trust</t>
  </si>
  <si>
    <t xml:space="preserve">Through moral or ideological framing — the leader as the embodiment of the company's purpose</t>
  </si>
  <si>
    <t xml:space="preserve">Leadership Behavior</t>
  </si>
  <si>
    <t xml:space="preserve">Management meetings · Founder interview</t>
  </si>
  <si>
    <t xml:space="preserve">Authority demonstration is a key environment marker. Options are behaviorally grounded and mutually exclusive.</t>
  </si>
  <si>
    <t xml:space="preserve">TED Q6</t>
  </si>
  <si>
    <t xml:space="preserve">Failure Response</t>
  </si>
  <si>
    <t xml:space="preserve">Based on what you observed or were told about how the target company responded to a significant internal failure — a missed target, a product that did not perform, or a market that did not materialize — what response pattern was most evident?</t>
  </si>
  <si>
    <t xml:space="preserve">The failure was analyzed rigorously; accountability was assigned and consequences followed</t>
  </si>
  <si>
    <t xml:space="preserve">The failure was reinterpreted as learning; the team was given latitude to experiment again</t>
  </si>
  <si>
    <t xml:space="preserve">The failure was minimized or attributed to external factors; internal relationships were protected</t>
  </si>
  <si>
    <t xml:space="preserve">The failure resulted in visible punishment, exclusion, or resource withdrawal targeting the person who fell short</t>
  </si>
  <si>
    <t xml:space="preserve">Accountability Signal</t>
  </si>
  <si>
    <t xml:space="preserve">Management meetings · Financial model · Bad-news episode</t>
  </si>
  <si>
    <t xml:space="preserve">Failure response directly reveals whether environment is performance-accountable, experimental, relational, or coercive.</t>
  </si>
  <si>
    <t xml:space="preserve">TED Q7</t>
  </si>
  <si>
    <t xml:space="preserve">Trust and Belonging</t>
  </si>
  <si>
    <t xml:space="preserve">Based on how target-company employees and leaders spoke about their organization during interviews or informal interactions, what appeared to be the primary basis for belonging and trust within the company?</t>
  </si>
  <si>
    <t xml:space="preserve">Shared belief in a mission, cause, or set of values that defined the organization's identity</t>
  </si>
  <si>
    <t xml:space="preserve">Demonstrated intellectual contribution or expertise within the team's domain</t>
  </si>
  <si>
    <t xml:space="preserve">Personal relationship history, loyalty, and shared experience over time</t>
  </si>
  <si>
    <t xml:space="preserve">Compliance with the system — producing results, generating revenue, or meeting specified behavioral expectations</t>
  </si>
  <si>
    <t xml:space="preserve">Trust Mechanism</t>
  </si>
  <si>
    <t xml:space="preserve">Belonging Signal</t>
  </si>
  <si>
    <t xml:space="preserve">Employee interviews · Functional leader interviews</t>
  </si>
  <si>
    <t xml:space="preserve">Trust basis is highly diagnostic. Options cover the four dominant belonging logics across the environment spectrum.</t>
  </si>
  <si>
    <t xml:space="preserve">TED Q8</t>
  </si>
  <si>
    <t xml:space="preserve">Execution Rhythm</t>
  </si>
  <si>
    <t xml:space="preserve">Based on process documentation, KPI history, and what management described as their operating cadence, how did the target company characteristically execute against its goals?</t>
  </si>
  <si>
    <t xml:space="preserve">Through rapid iteration cycles — test, measure, adjust — with tolerance for failure as part of the learning process</t>
  </si>
  <si>
    <t xml:space="preserve">Through standardized systems, compliance processes, and volume-based metrics tracked consistently</t>
  </si>
  <si>
    <t xml:space="preserve">Through relationship-mediated coordination — people relied on trusted colleagues to manage handoffs and exceptions</t>
  </si>
  <si>
    <t xml:space="preserve">Through structured planning cycles tied to measurable targets and formal review processes</t>
  </si>
  <si>
    <t xml:space="preserve">Operational Cadence</t>
  </si>
  <si>
    <t xml:space="preserve">Process documentation · KPI history · Data room</t>
  </si>
  <si>
    <t xml:space="preserve">Execution pattern distinguishes NT/STP (iteration), SFP/SFJ (system compliance), SFJ/SFP (relational), NT/STJ (structured metrics).</t>
  </si>
  <si>
    <t xml:space="preserve">TED Q9</t>
  </si>
  <si>
    <t xml:space="preserve">Integration Reaction</t>
  </si>
  <si>
    <t xml:space="preserve">When integration planning discussions arose during diligence — whether formal or informal — how did the target company's leadership characteristically respond to the prospect of change?</t>
  </si>
  <si>
    <t xml:space="preserve">With intellectual curiosity — they engaged with structural questions and wanted to understand the acquirer's reasoning</t>
  </si>
  <si>
    <t xml:space="preserve">With values-protection framing — they consistently raised culture, mission, and people preservation as non-negotiables</t>
  </si>
  <si>
    <t xml:space="preserve">With performance-data framing — they wanted to know how integration would affect metrics and accountability</t>
  </si>
  <si>
    <t xml:space="preserve">With territorial caution — key leaders appeared to protect specific relationships, roles, or resource domains</t>
  </si>
  <si>
    <t xml:space="preserve">Change Response</t>
  </si>
  <si>
    <t xml:space="preserve">Integration planning discussions · Negotiation behavior</t>
  </si>
  <si>
    <t xml:space="preserve">Integration reaction reveals what the environment actually values when change is threatened. Options are mutually distinct.</t>
  </si>
  <si>
    <t xml:space="preserve">TED Q10</t>
  </si>
  <si>
    <t xml:space="preserve">Loyalty vs Performance</t>
  </si>
  <si>
    <t xml:space="preserve">Based on what you could infer from the org chart, tenure patterns, and any compensation or retention data available, how did the target company appear to handle people who were long-tenured and loyal but clearly underperforming against measurable standards?</t>
  </si>
  <si>
    <t xml:space="preserve">They were retained and protected; tenure and loyalty outweighed performance shortfalls</t>
  </si>
  <si>
    <t xml:space="preserve">They were retained in adjusted roles; the system found ways to extract value without confrontation</t>
  </si>
  <si>
    <t xml:space="preserve">They were held to the same performance standards as new employees; accountability was symmetric</t>
  </si>
  <si>
    <t xml:space="preserve">They were retained as long as they remained compliant and did not disrupt key relationships or revenue flows</t>
  </si>
  <si>
    <t xml:space="preserve">Accountability Asymmetry</t>
  </si>
  <si>
    <t xml:space="preserve">Underperformer handling is a critical signal for environment type. SFJ/SFP protects tenure; NT/STJ maintains accountability; SFP/SFJ retains compliance.</t>
  </si>
  <si>
    <t xml:space="preserve">TED Q11</t>
  </si>
  <si>
    <t xml:space="preserve">Speed vs Control</t>
  </si>
  <si>
    <t xml:space="preserve">Based on diligence materials and management discussions, when the target company faced a decision requiring a trade-off between moving quickly and establishing controls or approvals, which pattern prevailed?</t>
  </si>
  <si>
    <t xml:space="preserve">Speed consistently won — the company moved first and built controls afterward if they proved necessary</t>
  </si>
  <si>
    <t xml:space="preserve">Control consistently won — decisions required clear authorization and documentation before execution</t>
  </si>
  <si>
    <t xml:space="preserve">Speed and control varied by who was asking — senior insiders moved fast; others faced higher approval hurdles</t>
  </si>
  <si>
    <t xml:space="preserve">The company moved quickly within established systems; speed operated through compliance infrastructure, not around it</t>
  </si>
  <si>
    <t xml:space="preserve">Decision Rights</t>
  </si>
  <si>
    <t xml:space="preserve">Management meetings · Process documentation · Negotiation behavior</t>
  </si>
  <si>
    <t xml:space="preserve">Speed/control trade-off is operationally concrete and reveals accountability structure. Options are mutually exclusive patterns.</t>
  </si>
  <si>
    <t xml:space="preserve">TED Q12</t>
  </si>
  <si>
    <t xml:space="preserve">Bad-News Behavior</t>
  </si>
  <si>
    <t xml:space="preserve">When the target company disclosed or encountered a negative finding during diligence — a financial miss, a litigation matter, a personnel issue — how did they characteristically handle the disclosure?</t>
  </si>
  <si>
    <t xml:space="preserve">They disclosed proactively and with full detail, treating transparency as a professional standard</t>
  </si>
  <si>
    <t xml:space="preserve">They disclosed the issue but emphasized the emotional or creative difficulty behind it — framing disclosure through authenticity and good faith rather than through data or accountability</t>
  </si>
  <si>
    <t xml:space="preserve">They used mission or values language to contextualize the problem — emphasizing commitment and intention over data</t>
  </si>
  <si>
    <t xml:space="preserve">Disclosure was strategic — timed and framed to minimize acquirer leverage rather than to provide accurate information</t>
  </si>
  <si>
    <t xml:space="preserve">Disclosure Signal</t>
  </si>
  <si>
    <t xml:space="preserve">Negotiation behavior · Bad-news episode · Management meetings</t>
  </si>
  <si>
    <t xml:space="preserve">Disclosure behavior under pressure is one of the most revealing diligence signals. Options cover transparency, defensiveness, values-framing, and strategic concealment.</t>
  </si>
  <si>
    <t xml:space="preserve">TED Q13</t>
  </si>
  <si>
    <t xml:space="preserve">Status and Territory</t>
  </si>
  <si>
    <t xml:space="preserve">Based on how the target company's leadership behaved in multi-function diligence meetings — where different departments were represented — which dynamic was most visible?</t>
  </si>
  <si>
    <t xml:space="preserve">Leaders competed for acquirer attention and resource commitments; protecting their domain was a visible priority</t>
  </si>
  <si>
    <t xml:space="preserve">Leaders deferred to a clear hierarchy — seniority determined who spoke, and others followed the lead</t>
  </si>
  <si>
    <t xml:space="preserve">Leaders presented collectively and shared credit; no individual appeared to be protecting territory</t>
  </si>
  <si>
    <t xml:space="preserve">Leaders used moral or mission framing to claim importance — departments were positioned as critical to the cause</t>
  </si>
  <si>
    <t xml:space="preserve">Leadership Dynamic</t>
  </si>
  <si>
    <t xml:space="preserve">Management meetings · Founder interview · Functional leader interviews</t>
  </si>
  <si>
    <t xml:space="preserve">Status behavior in cross-functional settings reveals hierarchy type. Options cover coercive (STJ/STP), structured (NT/STJ), collaborative (NF/NT), and mission-hierarchy (NF/SFJ).</t>
  </si>
  <si>
    <t xml:space="preserve">TED Q14</t>
  </si>
  <si>
    <t xml:space="preserve">Culture Preservation</t>
  </si>
  <si>
    <t xml:space="preserve">During integration planning discussions, what was the target company's primary framing when raising concerns about cultural preservation?</t>
  </si>
  <si>
    <t xml:space="preserve">They emphasized specific operational practices or decision-making processes they wanted to preserve</t>
  </si>
  <si>
    <t xml:space="preserve">They emphasized relationships — specific people and teams they considered essential to the company's functioning</t>
  </si>
  <si>
    <t xml:space="preserve">They emphasized identity, mission, or values — abstract principles they considered non-negotiable</t>
  </si>
  <si>
    <t xml:space="preserve">They did not raise culture as a concern; the conversation focused on terms, conditions, and commercial arrangements</t>
  </si>
  <si>
    <t xml:space="preserve">Integration Framing</t>
  </si>
  <si>
    <t xml:space="preserve">Integration planning discussions · Management meetings</t>
  </si>
  <si>
    <t xml:space="preserve">Culture framing during integration reveals what the environment actually treats as valuable. Each option maps to a distinct environment logic.</t>
  </si>
  <si>
    <t xml:space="preserve">TED Q15</t>
  </si>
  <si>
    <t xml:space="preserve">Technical Experimentation</t>
  </si>
  <si>
    <t xml:space="preserve">Based on what you observed in R&amp;D documentation, product development records, or technical team discussions, how did the target company characteristically approach technical or product uncertainty?</t>
  </si>
  <si>
    <t xml:space="preserve">Through rapid deployment of minimum viable solutions, accepting failure as part of the process</t>
  </si>
  <si>
    <t xml:space="preserve">Through extended analysis and design before execution, minimizing uncertainty before commitment</t>
  </si>
  <si>
    <t xml:space="preserve">Through collaborative creative development where aesthetic and functional quality were co-equal</t>
  </si>
  <si>
    <t xml:space="preserve">Through consensus-driven development where social alignment within the team was a prerequisite</t>
  </si>
  <si>
    <t xml:space="preserve">Innovation Signal</t>
  </si>
  <si>
    <t xml:space="preserve">Data room · Process documentation · Functional leader interviews</t>
  </si>
  <si>
    <t xml:space="preserve">Technical approach is diagnostic for NT/STP (speed), NT/STJ (rigor), NF/SFP (creative), NF/NT (consensus through convergence).</t>
  </si>
  <si>
    <t xml:space="preserve">TED Q16</t>
  </si>
  <si>
    <t xml:space="preserve">Enforcement and Consequences</t>
  </si>
  <si>
    <t xml:space="preserve">Based on what you observed during diligence about how the target company handled deviation from expected behavior — whether policy violation, missed commitment, or visible defection — what consequence pattern was most evident?</t>
  </si>
  <si>
    <t xml:space="preserve">Structured consequences applied consistently according to documented policy, regardless of the individual's status</t>
  </si>
  <si>
    <t xml:space="preserve">Consequences were relational — the person's standing in key networks determined the severity of the response</t>
  </si>
  <si>
    <t xml:space="preserve">Consequences were public and punitive; visible examples were made to reinforce the authority of the enforcement structure</t>
  </si>
  <si>
    <t xml:space="preserve">Consequences involved removal from the reward and protection structure — the person lost access rather than faced direct punishment</t>
  </si>
  <si>
    <t xml:space="preserve">Enforcement Logic</t>
  </si>
  <si>
    <t xml:space="preserve">Consequence Pattern</t>
  </si>
  <si>
    <t xml:space="preserve">Management meetings · Compensation data · Negotiation behavior</t>
  </si>
  <si>
    <t xml:space="preserve">Consequence pattern distinguishes NT/STJ (policy), SFJ/SFP (relational), STJ/STP (coercive punishment), STP/STJ (exclusion from network).</t>
  </si>
  <si>
    <t xml:space="preserve">TED Q17</t>
  </si>
  <si>
    <t xml:space="preserve">Mission vs Results Language</t>
  </si>
  <si>
    <t xml:space="preserve">When the target company's leadership described what made their organization successful, which framing dominated their narrative?</t>
  </si>
  <si>
    <t xml:space="preserve">Measurable performance — specific metrics, market position, competitive benchmarks, and financial results</t>
  </si>
  <si>
    <t xml:space="preserve">Authentic expression — the quality, creativity, or uniqueness of what they produce</t>
  </si>
  <si>
    <t xml:space="preserve">Mission and belief — the organization's commitment to a cause larger than commercial success</t>
  </si>
  <si>
    <t xml:space="preserve">Relationship and belonging — the strength of the team, the loyalty of their people, and the trust they have built</t>
  </si>
  <si>
    <t xml:space="preserve">Success Narrative</t>
  </si>
  <si>
    <t xml:space="preserve">Leadership Framing</t>
  </si>
  <si>
    <t xml:space="preserve">Founder interview · Management meetings</t>
  </si>
  <si>
    <t xml:space="preserve">Success narrative is a reliable self-reveal. Options are distinct framings unlikely to overlap. Note: NT/STP would also use performance language but with emphasis on experimentation — this question captures the dominant narrative style.</t>
  </si>
  <si>
    <t xml:space="preserve">TED Q18</t>
  </si>
  <si>
    <t xml:space="preserve">Based on your overall diligence experience, how would you characterize the relationship between the target company's public-facing organizational identity and its actual operating behavior?</t>
  </si>
  <si>
    <t xml:space="preserve">Strong alignment — the company operated consistently with how it described itself; no meaningful gap was observed</t>
  </si>
  <si>
    <t xml:space="preserve">Aspirational gap — the company described a more sophisticated or evolved culture than it actually demonstrated; the gap appeared unintentional</t>
  </si>
  <si>
    <t xml:space="preserve">Strategic gap — the official narrative appeared designed to manage acquirer perception; observable behavior followed a different logic</t>
  </si>
  <si>
    <t xml:space="preserve">Compliance gap — the company maintained compliance with external standards while operating internally under a different set of rules</t>
  </si>
  <si>
    <t xml:space="preserve">Facade vs Core</t>
  </si>
  <si>
    <t xml:space="preserve">Narrative Integrity</t>
  </si>
  <si>
    <t xml:space="preserve">Facade/core distinction is the highest-leverage signal for environment accuracy. Alignment maps to NF/NT; aspirational gap to NF/SFJ; strategic gap to STP/STJ; compliance gap to SFP/SFJ.</t>
  </si>
  <si>
    <t xml:space="preserve">TED Q19</t>
  </si>
  <si>
    <t xml:space="preserve">Authenticity vs Discipline (v3.1 NEW)</t>
  </si>
  <si>
    <t xml:space="preserve">When you observed the target company's leadership describe how creative, identity-driven, or emotionally resonant work is handled internally — particularly when it conflicts with commercial discipline, process structure, or accountability standards — which pattern most closely matched what you observed?</t>
  </si>
  <si>
    <t xml:space="preserve">Creative or identity-driven work is evaluated through structured criteria — integrated if it produces measurable value, deprioritised if it does not. The standard is performance.</t>
  </si>
  <si>
    <t xml:space="preserve">Creative or identity-driven work is tested rapidly in the market or in practice — survival depends on traction, not on internal advocacy.</t>
  </si>
  <si>
    <t xml:space="preserve">Creative or identity-driven work is protected because it expresses authentic voice, identity, or emotional energy — accountability structures are softened around it as a matter of principle.</t>
  </si>
  <si>
    <t xml:space="preserve">Creative or identity-driven work is accepted only if it supports the existing mission, doctrine, or leadership narrative — outside that frame, it is suppressed.</t>
  </si>
  <si>
    <t xml:space="preserve">Authenticity vs Discipline</t>
  </si>
  <si>
    <t xml:space="preserve">Creative Logic</t>
  </si>
  <si>
    <t xml:space="preserve">Management meetings · Founder interview · Product/creative team observation</t>
  </si>
  <si>
    <t xml:space="preserve">NEW v3.1 question. Closes NF/SFP coverage gap flagged in source v1.0 Validation_Checks (NF/SFP had only 4 slots, minimum 5 required). Discriminates The Creative Commons from The Performance Arena, The Disruption Lab, and The Mission Field. Direct-observation gate compatible.</t>
  </si>
  <si>
    <t xml:space="preserve">ANSWER KEY — Environment Mapping</t>
  </si>
  <si>
    <t xml:space="preserve">Option</t>
  </si>
  <si>
    <t xml:space="preserve">Option_Text_Summary</t>
  </si>
  <si>
    <t xml:space="preserve">Diagnostic_Rationale</t>
  </si>
  <si>
    <t xml:space="preserve">Resource_Signal</t>
  </si>
  <si>
    <t xml:space="preserve">Confidence_Impact</t>
  </si>
  <si>
    <t xml:space="preserve">A</t>
  </si>
  <si>
    <t xml:space="preserve">Six or more sessions</t>
  </si>
  <si>
    <t xml:space="preserve">Evidence calibration</t>
  </si>
  <si>
    <t xml:space="preserve">High direct contact depth</t>
  </si>
  <si>
    <t xml:space="preserve">Evidence depth +3</t>
  </si>
  <si>
    <t xml:space="preserve">Confidence +3</t>
  </si>
  <si>
    <t xml:space="preserve">B</t>
  </si>
  <si>
    <t xml:space="preserve">Three to five sessions</t>
  </si>
  <si>
    <t xml:space="preserve">Moderate direct contact</t>
  </si>
  <si>
    <t xml:space="preserve">Evidence depth +2</t>
  </si>
  <si>
    <t xml:space="preserve">Confidence +2</t>
  </si>
  <si>
    <t xml:space="preserve">C</t>
  </si>
  <si>
    <t xml:space="preserve">One or two introductory meetings</t>
  </si>
  <si>
    <t xml:space="preserve">Limited unscripted interaction</t>
  </si>
  <si>
    <t xml:space="preserve">Evidence depth +1</t>
  </si>
  <si>
    <t xml:space="preserve">Confidence +1</t>
  </si>
  <si>
    <t xml:space="preserve">D</t>
  </si>
  <si>
    <t xml:space="preserve">No direct leadership interaction</t>
  </si>
  <si>
    <t xml:space="preserve">Secondary materials only</t>
  </si>
  <si>
    <t xml:space="preserve">Evidence depth +0</t>
  </si>
  <si>
    <t xml:space="preserve">Confidence +0</t>
  </si>
  <si>
    <t xml:space="preserve">Full documentary coverage</t>
  </si>
  <si>
    <t xml:space="preserve">Full data breadth</t>
  </si>
  <si>
    <t xml:space="preserve">Evidence breadth +3</t>
  </si>
  <si>
    <t xml:space="preserve">Financials and org charts; partial KPI</t>
  </si>
  <si>
    <t xml:space="preserve">Moderate data breadth</t>
  </si>
  <si>
    <t xml:space="preserve">Evidence breadth +2</t>
  </si>
  <si>
    <t xml:space="preserve">Summary financials only</t>
  </si>
  <si>
    <t xml:space="preserve">Limited documentary basis</t>
  </si>
  <si>
    <t xml:space="preserve">Evidence breadth +1</t>
  </si>
  <si>
    <t xml:space="preserve">Management narrative only</t>
  </si>
  <si>
    <t xml:space="preserve">Insufficient documentary basis</t>
  </si>
  <si>
    <t xml:space="preserve">Evidence breadth +0</t>
  </si>
  <si>
    <t xml:space="preserve">Multiple pressure episodes observed</t>
  </si>
  <si>
    <t xml:space="preserve">Behavioral data under pressure</t>
  </si>
  <si>
    <t xml:space="preserve">Pressure exposure +3</t>
  </si>
  <si>
    <t xml:space="preserve">One pressure episode observed</t>
  </si>
  <si>
    <t xml:space="preserve">Partial behavioral observation</t>
  </si>
  <si>
    <t xml:space="preserve">Pressure exposure +2</t>
  </si>
  <si>
    <t xml:space="preserve">Heard about episodes indirectly</t>
  </si>
  <si>
    <t xml:space="preserve">Indirect pressure signal</t>
  </si>
  <si>
    <t xml:space="preserve">Pressure exposure +1</t>
  </si>
  <si>
    <t xml:space="preserve">No pressure episodes encountered</t>
  </si>
  <si>
    <t xml:space="preserve">Scripted diligence only</t>
  </si>
  <si>
    <t xml:space="preserve">Pressure exposure +0</t>
  </si>
  <si>
    <t xml:space="preserve">Strong match — behavior aligns with narrative</t>
  </si>
  <si>
    <t xml:space="preserve">Low facade risk</t>
  </si>
  <si>
    <t xml:space="preserve">Facade/core gap: low</t>
  </si>
  <si>
    <t xml:space="preserve">Confidence: narrative reliable</t>
  </si>
  <si>
    <t xml:space="preserve">Partial match — one notable inconsistency</t>
  </si>
  <si>
    <t xml:space="preserve">Moderate facade risk</t>
  </si>
  <si>
    <t xml:space="preserve">Facade/core gap: moderate</t>
  </si>
  <si>
    <t xml:space="preserve">Confidence: moderate; flag gap</t>
  </si>
  <si>
    <t xml:space="preserve">Notable gap — multiple inconsistencies</t>
  </si>
  <si>
    <t xml:space="preserve">High facade risk</t>
  </si>
  <si>
    <t xml:space="preserve">Facade/core gap: high</t>
  </si>
  <si>
    <t xml:space="preserve">Confidence: reduced; environment may be masked</t>
  </si>
  <si>
    <t xml:space="preserve">Clear gap — deliberate presentation</t>
  </si>
  <si>
    <t xml:space="preserve">Severe facade risk</t>
  </si>
  <si>
    <t xml:space="preserve">Facade/core gap: severe</t>
  </si>
  <si>
    <t xml:space="preserve">Confidence: significantly reduced; Irresolvable risk</t>
  </si>
  <si>
    <t xml:space="preserve">The position supported by the strongest analysis or most rig...</t>
  </si>
  <si>
    <t xml:space="preserve">Maps to NF/NT (The Idea Lab) via Decision Logic</t>
  </si>
  <si>
    <t xml:space="preserve">NF/NT resource pattern</t>
  </si>
  <si>
    <t xml:space="preserve">Confirmed if ≥2 corroborating answers in same environment</t>
  </si>
  <si>
    <t xml:space="preserve">The position held by the most senior person in the room was ...</t>
  </si>
  <si>
    <t xml:space="preserve">Maps to NT/STJ (The Performance Arena) via Decision Logic</t>
  </si>
  <si>
    <t xml:space="preserve">NT/STJ resource pattern</t>
  </si>
  <si>
    <t xml:space="preserve">The position that best aligned with the company's stated mis...</t>
  </si>
  <si>
    <t xml:space="preserve">Maps to NF/SFJ (The Mission Field) via Decision Logic</t>
  </si>
  <si>
    <t xml:space="preserve">NF/SFJ resource pattern</t>
  </si>
  <si>
    <t xml:space="preserve">The position favored by whoever controlled the most critical...</t>
  </si>
  <si>
    <t xml:space="preserve">Maps to STP/STJ (The Enforcer Network) via Decision Logic</t>
  </si>
  <si>
    <t xml:space="preserve">STP/STJ resource pattern</t>
  </si>
  <si>
    <t xml:space="preserve">People who delivered the most clearly measurable results, tr...</t>
  </si>
  <si>
    <t xml:space="preserve">Maps to NT/STJ (The Performance Arena) via Promotion Logic</t>
  </si>
  <si>
    <t xml:space="preserve">People who demonstrated the strongest loyalty to senior lead...</t>
  </si>
  <si>
    <t xml:space="preserve">Maps to SFJ/SFP (The Hometown Network) via Promotion Logic</t>
  </si>
  <si>
    <t xml:space="preserve">SFJ/SFP resource pattern</t>
  </si>
  <si>
    <t xml:space="preserve">People who visibly embodied the company's values, mission na...</t>
  </si>
  <si>
    <t xml:space="preserve">Maps to NF/SFJ (The Mission Field) via Promotion Logic</t>
  </si>
  <si>
    <t xml:space="preserve">People who proved they could generate revenue, enforce compl...</t>
  </si>
  <si>
    <t xml:space="preserve">Maps to SFP/SFJ (The Franchise Machine) via Promotion Logic</t>
  </si>
  <si>
    <t xml:space="preserve">SFP/SFJ resource pattern</t>
  </si>
  <si>
    <t xml:space="preserve">Toward experimental or prototype initiatives with unclear pa...</t>
  </si>
  <si>
    <t xml:space="preserve">Maps to NT/STP (The Disruption Lab) via Resource Allocation</t>
  </si>
  <si>
    <t xml:space="preserve">NT/STP resource pattern</t>
  </si>
  <si>
    <t xml:space="preserve">Toward activities that protected or expanded compliance, reg...</t>
  </si>
  <si>
    <t xml:space="preserve">Maps to SFP/SFJ (The Franchise Machine) via Resource Allocation</t>
  </si>
  <si>
    <t xml:space="preserve">Toward projects with the clearest measurable return and the ...</t>
  </si>
  <si>
    <t xml:space="preserve">Maps to NT/STJ (The Performance Arena) via Resource Allocation</t>
  </si>
  <si>
    <t xml:space="preserve">Toward creative, aesthetic, or values-expressive initiatives...</t>
  </si>
  <si>
    <t xml:space="preserve">Maps to NF/SFP (The Creative Commons) via Resource Allocation</t>
  </si>
  <si>
    <t xml:space="preserve">NF/SFP resource pattern</t>
  </si>
  <si>
    <t xml:space="preserve">Disagreement was absorbed and resolved through structured pr...</t>
  </si>
  <si>
    <t xml:space="preserve">Maps to NT/STJ (The Performance Arena) via Conflict Handling</t>
  </si>
  <si>
    <t xml:space="preserve">Disagreement was surfaced and resolved intellectually; the b...</t>
  </si>
  <si>
    <t xml:space="preserve">Maps to NF/NT (The Idea Lab) via Conflict Handling</t>
  </si>
  <si>
    <t xml:space="preserve">Disagreement was suppressed or re-framed in values language;...</t>
  </si>
  <si>
    <t xml:space="preserve">Maps to NF/SFJ (The Mission Field) via Conflict Handling</t>
  </si>
  <si>
    <t xml:space="preserve">Disagreement was resolved by whoever held the stronger posit...</t>
  </si>
  <si>
    <t xml:space="preserve">Maps to STJ/STP (The Power Racket) via Conflict Handling</t>
  </si>
  <si>
    <t xml:space="preserve">STJ/STP resource pattern</t>
  </si>
  <si>
    <t xml:space="preserve">Through demonstrated command of data, metrics, and competiti...</t>
  </si>
  <si>
    <t xml:space="preserve">Maps to NT/STJ (The Performance Arena) via Authority Signal</t>
  </si>
  <si>
    <t xml:space="preserve">Through control of relationships, enforcement capacity, or v...</t>
  </si>
  <si>
    <t xml:space="preserve">Maps to STJ/STP (The Power Racket) via Authority Signal</t>
  </si>
  <si>
    <t xml:space="preserve">Maps to SFJ/SFP (The Hometown Network) via Authority Signal</t>
  </si>
  <si>
    <t xml:space="preserve">Through moral or ideological framing — the leader as the emb...</t>
  </si>
  <si>
    <t xml:space="preserve">Maps to NF/SFJ (The Mission Field) via Authority Signal</t>
  </si>
  <si>
    <t xml:space="preserve">The failure was analyzed rigorously; accountability was assi...</t>
  </si>
  <si>
    <t xml:space="preserve">Maps to NT/STJ (The Performance Arena) via Failure Response</t>
  </si>
  <si>
    <t xml:space="preserve">The failure was reinterpreted as learning; the team was give...</t>
  </si>
  <si>
    <t xml:space="preserve">Maps to NT/STP (The Disruption Lab) via Failure Response</t>
  </si>
  <si>
    <t xml:space="preserve">The failure was minimized or attributed to external factors;...</t>
  </si>
  <si>
    <t xml:space="preserve">Maps to SFJ/SFP (The Hometown Network) via Failure Response</t>
  </si>
  <si>
    <t xml:space="preserve">The failure resulted in visible punishment, exclusion, or re...</t>
  </si>
  <si>
    <t xml:space="preserve">Maps to STJ/STP (The Power Racket) via Failure Response</t>
  </si>
  <si>
    <t xml:space="preserve">Shared belief in a mission, cause, or set of values that def...</t>
  </si>
  <si>
    <t xml:space="preserve">Maps to NF/SFJ (The Mission Field) via Trust Mechanism</t>
  </si>
  <si>
    <t xml:space="preserve">Demonstrated intellectual contribution or expertise within t...</t>
  </si>
  <si>
    <t xml:space="preserve">Maps to NF/NT (The Idea Lab) via Trust Mechanism</t>
  </si>
  <si>
    <t xml:space="preserve">Personal relationship history, loyalty, and shared experienc...</t>
  </si>
  <si>
    <t xml:space="preserve">Maps to SFJ/SFP (The Hometown Network) via Trust Mechanism</t>
  </si>
  <si>
    <t xml:space="preserve">Compliance with the system — producing results, generating r...</t>
  </si>
  <si>
    <t xml:space="preserve">Maps to SFP/SFJ (The Franchise Machine) via Trust Mechanism</t>
  </si>
  <si>
    <t xml:space="preserve">Through rapid iteration cycles — test, measure, adjust — wit...</t>
  </si>
  <si>
    <t xml:space="preserve">Maps to NT/STP (The Disruption Lab) via Execution Rhythm</t>
  </si>
  <si>
    <t xml:space="preserve">Through standardized systems, compliance processes, and volu...</t>
  </si>
  <si>
    <t xml:space="preserve">Maps to SFP/SFJ (The Franchise Machine) via Execution Rhythm</t>
  </si>
  <si>
    <t xml:space="preserve">Through relationship-mediated coordination — people relied o...</t>
  </si>
  <si>
    <t xml:space="preserve">Maps to SFJ/SFP (The Hometown Network) via Execution Rhythm</t>
  </si>
  <si>
    <t xml:space="preserve">Through structured planning cycles tied to measurable target...</t>
  </si>
  <si>
    <t xml:space="preserve">Maps to NT/STJ (The Performance Arena) via Execution Rhythm</t>
  </si>
  <si>
    <t xml:space="preserve">With intellectual curiosity — they engaged with structural q...</t>
  </si>
  <si>
    <t xml:space="preserve">Maps to NF/NT (The Idea Lab) via Integration Reaction</t>
  </si>
  <si>
    <t xml:space="preserve">With values-protection framing — they consistently raised cu...</t>
  </si>
  <si>
    <t xml:space="preserve">Maps to NF/SFJ (The Mission Field) via Integration Reaction</t>
  </si>
  <si>
    <t xml:space="preserve">With performance-data framing — they wanted to know how inte...</t>
  </si>
  <si>
    <t xml:space="preserve">Maps to NT/STJ (The Performance Arena) via Integration Reaction</t>
  </si>
  <si>
    <t xml:space="preserve">With territorial caution — key leaders appeared to protect s...</t>
  </si>
  <si>
    <t xml:space="preserve">Maps to STP/STJ (The Enforcer Network) via Integration Reaction</t>
  </si>
  <si>
    <t xml:space="preserve">They were retained and protected; tenure and loyalty outweig...</t>
  </si>
  <si>
    <t xml:space="preserve">Maps to SFJ/SFP (The Hometown Network) via Loyalty vs Performance</t>
  </si>
  <si>
    <t xml:space="preserve">They were retained in adjusted roles; the system found ways ...</t>
  </si>
  <si>
    <t xml:space="preserve">Maps to NF/SFP (The Creative Commons) via Loyalty vs Performance</t>
  </si>
  <si>
    <t xml:space="preserve">They were held to the same performance standards as new empl...</t>
  </si>
  <si>
    <t xml:space="preserve">Maps to NT/STJ (The Performance Arena) via Loyalty vs Performance</t>
  </si>
  <si>
    <t xml:space="preserve">They were retained as long as they remained compliant and di...</t>
  </si>
  <si>
    <t xml:space="preserve">Maps to SFP/SFJ (The Franchise Machine) via Loyalty vs Performance</t>
  </si>
  <si>
    <t xml:space="preserve">Speed consistently won — the company moved first and built c...</t>
  </si>
  <si>
    <t xml:space="preserve">Maps to NT/STP (The Disruption Lab) via Speed vs Control</t>
  </si>
  <si>
    <t xml:space="preserve">Control consistently won — decisions required clear authoriz...</t>
  </si>
  <si>
    <t xml:space="preserve">Maps to NT/STJ (The Performance Arena) via Speed vs Control</t>
  </si>
  <si>
    <t xml:space="preserve">Speed and control varied by who was asking — senior insiders...</t>
  </si>
  <si>
    <t xml:space="preserve">Maps to STJ/STP (The Power Racket) via Speed vs Control</t>
  </si>
  <si>
    <t xml:space="preserve">The company moved quickly within established systems; speed ...</t>
  </si>
  <si>
    <t xml:space="preserve">Maps to SFP/SFJ (The Franchise Machine) via Speed vs Control</t>
  </si>
  <si>
    <t xml:space="preserve">They disclosed proactively and with full detail, treating tr...</t>
  </si>
  <si>
    <t xml:space="preserve">Maps to NF/NT (The Idea Lab) via Bad-News Behavior</t>
  </si>
  <si>
    <t xml:space="preserve">Disclosed through authenticity/good-faith framing rather than data accountability</t>
  </si>
  <si>
    <t xml:space="preserve">Maps to NF/SFP (The Creative Commons) via Bad-News Behavior — authentic expression even under pressure</t>
  </si>
  <si>
    <t xml:space="preserve">They used mission or values language to contextualize the pr...</t>
  </si>
  <si>
    <t xml:space="preserve">Maps to NF/SFJ (The Mission Field) via Bad-News Behavior</t>
  </si>
  <si>
    <t xml:space="preserve">Disclosure was strategic — timed and framed to minimize acqu...</t>
  </si>
  <si>
    <t xml:space="preserve">Maps to STP/STJ (The Enforcer Network) via Bad-News Behavior</t>
  </si>
  <si>
    <t xml:space="preserve">Leaders competed for acquirer attention and resource commitm...</t>
  </si>
  <si>
    <t xml:space="preserve">Maps to STJ/STP (The Power Racket) via Status and Territory</t>
  </si>
  <si>
    <t xml:space="preserve">Leaders deferred to a clear hierarchy — seniority determined...</t>
  </si>
  <si>
    <t xml:space="preserve">Maps to NT/STJ (The Performance Arena) via Status and Territory</t>
  </si>
  <si>
    <t xml:space="preserve">Leaders presented collectively and shared credit; no individ...</t>
  </si>
  <si>
    <t xml:space="preserve">Maps to NF/NT (The Idea Lab) via Status and Territory</t>
  </si>
  <si>
    <t xml:space="preserve">Leaders used moral or mission framing to claim importance — ...</t>
  </si>
  <si>
    <t xml:space="preserve">Maps to NF/SFJ (The Mission Field) via Status and Territory</t>
  </si>
  <si>
    <t xml:space="preserve">They emphasized specific operational practices or decision-m...</t>
  </si>
  <si>
    <t xml:space="preserve">Maps to NF/NT (The Idea Lab) via Culture Preservation</t>
  </si>
  <si>
    <t xml:space="preserve">They emphasized relationships — specific people and teams th...</t>
  </si>
  <si>
    <t xml:space="preserve">Maps to SFJ/SFP (The Hometown Network) via Culture Preservation</t>
  </si>
  <si>
    <t xml:space="preserve">They emphasized identity, mission, or values — abstract prin...</t>
  </si>
  <si>
    <t xml:space="preserve">Maps to NF/SFJ (The Mission Field) via Culture Preservation</t>
  </si>
  <si>
    <t xml:space="preserve">They did not raise culture as a concern; the conversation fo...</t>
  </si>
  <si>
    <t xml:space="preserve">Maps to SFP/SFJ (The Franchise Machine) via Culture Preservation</t>
  </si>
  <si>
    <t xml:space="preserve">Through rapid deployment of minimum viable solutions, accept...</t>
  </si>
  <si>
    <t xml:space="preserve">Maps to NT/STP (The Disruption Lab) via Technical Experimentation</t>
  </si>
  <si>
    <t xml:space="preserve">Through extended analysis and design before execution, minim...</t>
  </si>
  <si>
    <t xml:space="preserve">Maps to NT/STJ (The Performance Arena) via Technical Experimentation</t>
  </si>
  <si>
    <t xml:space="preserve">Through collaborative creative development where aesthetic a...</t>
  </si>
  <si>
    <t xml:space="preserve">Maps to NF/SFP (The Creative Commons) via Technical Experimentation</t>
  </si>
  <si>
    <t xml:space="preserve">Through consensus-driven development where social alignment ...</t>
  </si>
  <si>
    <t xml:space="preserve">Maps to NF/NT (The Idea Lab) via Technical Experimentation</t>
  </si>
  <si>
    <t xml:space="preserve">Structured consequences applied consistently according to do...</t>
  </si>
  <si>
    <t xml:space="preserve">Maps to NT/STJ (The Performance Arena) via Enforcement Logic</t>
  </si>
  <si>
    <t xml:space="preserve">Consequences were relational — the person's standing in key ...</t>
  </si>
  <si>
    <t xml:space="preserve">Maps to SFJ/SFP (The Hometown Network) via Enforcement Logic</t>
  </si>
  <si>
    <t xml:space="preserve">Consequences were public and punitive; visible examples were...</t>
  </si>
  <si>
    <t xml:space="preserve">Maps to STJ/STP (The Power Racket) via Enforcement Logic</t>
  </si>
  <si>
    <t xml:space="preserve">Consequences involved removal from the reward and protection...</t>
  </si>
  <si>
    <t xml:space="preserve">Maps to STP/STJ (The Enforcer Network) via Enforcement Logic</t>
  </si>
  <si>
    <t xml:space="preserve">Measurable performance — specific metrics, market position, ...</t>
  </si>
  <si>
    <t xml:space="preserve">Maps to NT/STJ (The Performance Arena) via Success Narrative</t>
  </si>
  <si>
    <t xml:space="preserve">Authentic expression — the quality, creativity, or uniquenes...</t>
  </si>
  <si>
    <t xml:space="preserve">Maps to NF/SFP (The Creative Commons) via Success Narrative</t>
  </si>
  <si>
    <t xml:space="preserve">Mission and belief — the organization's commitment to a caus...</t>
  </si>
  <si>
    <t xml:space="preserve">Maps to NF/SFJ (The Mission Field) via Success Narrative</t>
  </si>
  <si>
    <t xml:space="preserve">Relationship and belonging — the strength of the team, the l...</t>
  </si>
  <si>
    <t xml:space="preserve">Maps to SFJ/SFP (The Hometown Network) via Success Narrative</t>
  </si>
  <si>
    <t xml:space="preserve">Strong alignment — the company operated consistently with ho...</t>
  </si>
  <si>
    <t xml:space="preserve">Maps to NF/NT (The Idea Lab) via Facade vs Core</t>
  </si>
  <si>
    <t xml:space="preserve">Aspirational gap — the company described a more sophisticate...</t>
  </si>
  <si>
    <t xml:space="preserve">Maps to NF/SFJ (The Mission Field) via Facade vs Core</t>
  </si>
  <si>
    <t xml:space="preserve">Strategic gap — the official narrative appeared designed to ...</t>
  </si>
  <si>
    <t xml:space="preserve">Maps to STP/STJ (The Enforcer Network) via Facade vs Core</t>
  </si>
  <si>
    <t xml:space="preserve">Compliance gap — the company maintained compliance with exte...</t>
  </si>
  <si>
    <t xml:space="preserve">Maps to SFP/SFJ (The Franchise Machine) via Facade vs Core</t>
  </si>
  <si>
    <t xml:space="preserve">E</t>
  </si>
  <si>
    <t xml:space="preserve">I cannot answer from direct observation (v3.1)</t>
  </si>
  <si>
    <t xml:space="preserve">N/A — Abstain (v3.1)</t>
  </si>
  <si>
    <t xml:space="preserve">v3.1 Option E. Excluded from primary scoring; preserved for coverage map.</t>
  </si>
  <si>
    <t xml:space="preserve">No environment signal</t>
  </si>
  <si>
    <t xml:space="preserve">Reduces effective answer count</t>
  </si>
  <si>
    <t xml:space="preserve">Through structured criteria evaluation</t>
  </si>
  <si>
    <t xml:space="preserve">Maps to NT/STJ via Authenticity vs Discipline</t>
  </si>
  <si>
    <t xml:space="preserve">Through rapid market test</t>
  </si>
  <si>
    <t xml:space="preserve">Maps to NT/STP via Authenticity vs Discipline</t>
  </si>
  <si>
    <t xml:space="preserve">Protected as authentic expression</t>
  </si>
  <si>
    <t xml:space="preserve">Maps to NF/SFP via Authenticity vs Discipline — sole NF/SFP discriminator added v3.1</t>
  </si>
  <si>
    <t xml:space="preserve">Accepted only if mission-aligned</t>
  </si>
  <si>
    <t xml:space="preserve">Maps to NF/SFJ via Authenticity vs Discipline</t>
  </si>
  <si>
    <t xml:space="preserve">v3.1 Option E. Excluded from primary scoring.</t>
  </si>
  <si>
    <t xml:space="preserve">SCORING MODEL — Environment Score Calculation</t>
  </si>
  <si>
    <t xml:space="preserve">This sheet tallies one point per diagnostic question where the selected answer mapped to this environment. EVID Q1–Q4 do not contribute to environment scores — they contribute to Evidence_Confidence only. Scores are pulled from the Questionnaire sheet column P (Selected_Answer) via COUNTIF matching the Answer_Key mapping.</t>
  </si>
  <si>
    <t xml:space="preserve">Raw_Score</t>
  </si>
  <si>
    <t xml:space="preserve">Max_Possible</t>
  </si>
  <si>
    <t xml:space="preserve">Normalized_Score</t>
  </si>
  <si>
    <t xml:space="preserve">Rank</t>
  </si>
  <si>
    <t xml:space="preserve">Signal_Rank_Flag</t>
  </si>
  <si>
    <t xml:space="preserve">⚠  This sheet does NOT produce a final environment diagnosis. It produces a weighted signal pattern for analyst review only. Per ST_Analyst_Methodology.xlsx §1, Layer 1 must not name a primary environment label as the deliverable.</t>
  </si>
  <si>
    <t xml:space="preserve">SCORE SUMMARY</t>
  </si>
  <si>
    <t xml:space="preserve">Highest weighted signal direction</t>
  </si>
  <si>
    <t xml:space="preserve">Highest signal code</t>
  </si>
  <si>
    <t xml:space="preserve">Highest raw score</t>
  </si>
  <si>
    <t xml:space="preserve">Second weighted signal direction</t>
  </si>
  <si>
    <t xml:space="preserve">Second raw score</t>
  </si>
  <si>
    <t xml:space="preserve">Score gap (Highest − Second)</t>
  </si>
  <si>
    <t xml:space="preserve">Total diagnostic questions answered</t>
  </si>
  <si>
    <t xml:space="preserve">v3.1 NOTE: Max_Possible counts include the new TED Q19 slots. NF/SFP increased from 5 to 6 max (Q19-C added). E options across all TED questions do not contribute to environment scores; they are recorded for coverage analysis. Engine formulas reference TED Q1–Q19 (rows 7–25 of Questionnaire).</t>
  </si>
  <si>
    <t xml:space="preserve">EVIDENCE CONFIDENCE SCORING</t>
  </si>
  <si>
    <t xml:space="preserve">This sheet scores the four evidence-calibration questions (EVID Q1–Q4) to produce a confidence level for the diagnostic output. Evidence confidence adjusts interpretation of environment scores but does not change the environment score itself. A = 3 points, B = 2, C = 1, D = 0. Maximum = 12.</t>
  </si>
  <si>
    <t xml:space="preserve">Evidence_Question</t>
  </si>
  <si>
    <t xml:space="preserve">Evidence_Score</t>
  </si>
  <si>
    <t xml:space="preserve">Evidence_Level</t>
  </si>
  <si>
    <t xml:space="preserve">Score_Range</t>
  </si>
  <si>
    <t xml:space="preserve">Interpretation</t>
  </si>
  <si>
    <t xml:space="preserve">EVID Q1 — Leadership interaction depth</t>
  </si>
  <si>
    <t xml:space="preserve">EVID Q2 — Documentary evidence breadth</t>
  </si>
  <si>
    <t xml:space="preserve">EVID Q3 — Pressure exposure</t>
  </si>
  <si>
    <t xml:space="preserve">EVID Q4 — Facade vs operating core</t>
  </si>
  <si>
    <t xml:space="preserve">TOTAL EVIDENCE SCORE</t>
  </si>
  <si>
    <t xml:space="preserve">CONFIDENCE BAND DEFINITIONS</t>
  </si>
  <si>
    <t xml:space="preserve">Confidence_Level</t>
  </si>
  <si>
    <t xml:space="preserve">Color_Code</t>
  </si>
  <si>
    <t xml:space="preserve">Recommended_Action</t>
  </si>
  <si>
    <t xml:space="preserve">Apply_To_Output</t>
  </si>
  <si>
    <t xml:space="preserve">10–12</t>
  </si>
  <si>
    <t xml:space="preserve">High confidence</t>
  </si>
  <si>
    <t xml:space="preserve">Green</t>
  </si>
  <si>
    <t xml:space="preserve">Respondent had deep, multi-modal evidence exposure. Environment diagnosis can be treated as reliable.</t>
  </si>
  <si>
    <t xml:space="preserve">Proceed with full ECS calculation. Flag if primary score gap &lt; 2.</t>
  </si>
  <si>
    <t xml:space="preserve">High confidence — environment name and integration risk note both output.</t>
  </si>
  <si>
    <t xml:space="preserve">7–9</t>
  </si>
  <si>
    <t xml:space="preserve">Moderate confidence</t>
  </si>
  <si>
    <t xml:space="preserve">Amber</t>
  </si>
  <si>
    <t xml:space="preserve">Respondent had meaningful but not comprehensive exposure. Some evidence domains may be unobserved.</t>
  </si>
  <si>
    <t xml:space="preserve">Use environment diagnosis as working hypothesis. Recommend supplemental data collection if feasible.</t>
  </si>
  <si>
    <t xml:space="preserve">Moderate confidence — output with qualification note.</t>
  </si>
  <si>
    <t xml:space="preserve">4–6</t>
  </si>
  <si>
    <t xml:space="preserve">Weak signal</t>
  </si>
  <si>
    <t xml:space="preserve">Orange</t>
  </si>
  <si>
    <t xml:space="preserve">Respondent had limited direct exposure. Diagnosis is based primarily on secondary or scripted materials.</t>
  </si>
  <si>
    <t xml:space="preserve">Flag environment diagnosis as preliminary. Do not use as primary ECS input without corroboration.</t>
  </si>
  <si>
    <t xml:space="preserve">Weak signal — output with strong qualification; recommend target self-assessment instrument.</t>
  </si>
  <si>
    <t xml:space="preserve">0–3</t>
  </si>
  <si>
    <t xml:space="preserve">Irresolvable</t>
  </si>
  <si>
    <t xml:space="preserve">Red</t>
  </si>
  <si>
    <t xml:space="preserve">Insufficient evidence to produce a reliable environment diagnosis. Results are not actionable.</t>
  </si>
  <si>
    <t xml:space="preserve">Do not produce environment diagnosis. Recommend full diligence extension before ECS calculation.</t>
  </si>
  <si>
    <t xml:space="preserve">Irresolvable — environment diagnosis suppressed; alert practitioner.</t>
  </si>
  <si>
    <t xml:space="preserve">CURRENT CONFIDENCE LEVEL</t>
  </si>
  <si>
    <t xml:space="preserve">EVIDENCE PATTERN OUTPUT — Weighted Signal Pattern (NOT a final environment diagnosis)</t>
  </si>
  <si>
    <t xml:space="preserve">WEIGHTED SIGNAL PATTERN OUTPUT</t>
  </si>
  <si>
    <t xml:space="preserve">Signal gap</t>
  </si>
  <si>
    <t xml:space="preserve">Diagnostic questions answered</t>
  </si>
  <si>
    <t xml:space="preserve">Evidence confidence level</t>
  </si>
  <si>
    <t xml:space="preserve">⚠  This sheet does NOT produce a final environment diagnosis. The "Highest weighted signal direction" is a Layer 1 evidence-pattern indicator only. Per ST_Analyst_Methodology.xlsx §1, no environment label may be reported in a paid output without analyst review. Use this sheet to inform analyst interpretation, NOT as the deliverable.</t>
  </si>
  <si>
    <t xml:space="preserve">EVIDENCE-PATTERN STATUS</t>
  </si>
  <si>
    <t xml:space="preserve">INTEGRATION RISK NOTES BY ENVIRONMENT</t>
  </si>
  <si>
    <t xml:space="preserve">Integration_Risk_Note</t>
  </si>
  <si>
    <t xml:space="preserve">Recommended_Next_Step</t>
  </si>
  <si>
    <t xml:space="preserve">Ambiguity_Flag</t>
  </si>
  <si>
    <t xml:space="preserve">Integration risk emerges if intellectual autonomy, conceptual precision, or exploratory reasoning is reduced to political alignment or short-term operational reporting.</t>
  </si>
  <si>
    <t xml:space="preserve">Preserve intellectual governance structures. Ensure senior NF/NT contributors have direct access to acquirer's strategic leadership.</t>
  </si>
  <si>
    <t xml:space="preserve">Verify: does the target's intellectual culture depend on specific individuals or is it embedded in process?</t>
  </si>
  <si>
    <t xml:space="preserve">Integration risk emerges if purpose-language, belief compliance, or moralised service hides rigid hierarchy, sacrifice expectations, or resistance to external accountability.</t>
  </si>
  <si>
    <t xml:space="preserve">Conduct independent interviews with mid-level employees to test whether mission narrative is genuine or coercive. Map formal vs informal authority.</t>
  </si>
  <si>
    <t xml:space="preserve">High facade risk. Verify that moralised belonging does not mask a coercive obligation structure.</t>
  </si>
  <si>
    <t xml:space="preserve">Integration risk emerges if authentic expression is over-managed, if aesthetic or emotional culture is standardised too aggressively, or if resource use is not bounded by accountability.</t>
  </si>
  <si>
    <t xml:space="preserve">Protect creative autonomy in the near term. Introduce accountability structures gradually. Identify key creative contributors and their informal authority.</t>
  </si>
  <si>
    <t xml:space="preserve">Check whether financial discipline exists beneath the creative culture. Creative autonomy without accountability is a structural risk.</t>
  </si>
  <si>
    <t xml:space="preserve">Integration risk emerges if measurable performance logic is replaced by loyalty-based decision-making, political protection, or non-symmetric accountability.</t>
  </si>
  <si>
    <t xml:space="preserve">Maintain performance metrics through integration. Ensure acquirer's own accountability structures are visibly symmetric.</t>
  </si>
  <si>
    <t xml:space="preserve">NT/STJ talent will exit rapidly if they perceive accountability becoming political. Monitor senior departures in first 90 days.</t>
  </si>
  <si>
    <t xml:space="preserve">Integration risk emerges if rapid experimentation is forced into slow approval structures before technical learning, prototype logic, and tactical innovation are preserved.</t>
  </si>
  <si>
    <t xml:space="preserve">Ring-fence experimental teams during integration. Delay full governance integration of R&amp;D and product functions by at least 90 days.</t>
  </si>
  <si>
    <t xml:space="preserve">Check whether innovation speed is real or theatre. Verify prototype-to-product pipeline and failure tolerance in practice.</t>
  </si>
  <si>
    <t xml:space="preserve">Integration risk emerges if the acquirer disrupts trusted relationships, tenure-based belonging, local stability, or community comfort too quickly.</t>
  </si>
  <si>
    <t xml:space="preserve">Retain key relationship-holders and community anchors. Move slowly on structural changes in first 6 months. Communicate changes through trusted internal intermediaries.</t>
  </si>
  <si>
    <t xml:space="preserve">Identify who the informal social hubs are — the people who hold the relational network together — and protect their roles first.</t>
  </si>
  <si>
    <t xml:space="preserve">Integration risk emerges if apparent compliance is mistaken for genuine alignment; consumption or compliance loops may conceal extraction dynamics and low real commitment.</t>
  </si>
  <si>
    <t xml:space="preserve">Test depth of employee commitment beyond compliance. Identify retention risk among people who may be complying without genuine attachment.</t>
  </si>
  <si>
    <t xml:space="preserve">FACADE RISK: The Franchise Machine is the environment most likely to show high apparent compatibility with low actual compatibility. Independent employee interviews are essential.</t>
  </si>
  <si>
    <t xml:space="preserve">Integration risk emerges if coercive authority networks, punishment capacity, or material dominance structures are left intact without governance and accountability controls.</t>
  </si>
  <si>
    <t xml:space="preserve">Immediate governance audit required. Map formal and informal authority structures. Do not allow existing enforcement mechanisms to operate unchallenged post-close.</t>
  </si>
  <si>
    <t xml:space="preserve">COERCIVE ENVIRONMENT: High risk of cultural contamination of the combined entity. Require governance controls as a condition of integration, not as a post-integration aspiration.</t>
  </si>
  <si>
    <t xml:space="preserve">Integration risk emerges if recruitment, enforcement, and reward/protection exchange mechanisms are allowed to scale inside the combined company.</t>
  </si>
  <si>
    <t xml:space="preserve">Full operational audit of enforcement and reward structures before integration. Map who is inside the protection network and on what terms.</t>
  </si>
  <si>
    <t xml:space="preserve">COERCIVE ENVIRONMENT: Enforcer Networks recruit rather than build — integration exposes the acquirer to network expansion. Require structural dismantlement as integration condition.</t>
  </si>
  <si>
    <t xml:space="preserve">SURVEY METHODOLOGY CHECK — AAPOR &amp; Dillman / Tailored Design Method</t>
  </si>
  <si>
    <t xml:space="preserve">Methodology</t>
  </si>
  <si>
    <t xml:space="preserve">Criterion</t>
  </si>
  <si>
    <t xml:space="preserve">Pass_Fail</t>
  </si>
  <si>
    <t xml:space="preserve">Evidence_in_Workbook</t>
  </si>
  <si>
    <t xml:space="preserve">Issue_Found</t>
  </si>
  <si>
    <t xml:space="preserve">Correction_Applied</t>
  </si>
  <si>
    <t xml:space="preserve">AAPOR Best Practices</t>
  </si>
  <si>
    <t xml:space="preserve">Clear research purpose stated</t>
  </si>
  <si>
    <t xml:space="preserve">Provisional pass — internal review</t>
  </si>
  <si>
    <t xml:space="preserve">README sheet — purpose paragraph states diagnostic objective in plain terms</t>
  </si>
  <si>
    <t xml:space="preserve">None</t>
  </si>
  <si>
    <t xml:space="preserve">Appropriate respondent population defined</t>
  </si>
  <si>
    <t xml:space="preserve">README sheet — respondent profile defined as acquiring-side deal team member with direct diligence exposure</t>
  </si>
  <si>
    <t xml:space="preserve">Questions are specific and concrete</t>
  </si>
  <si>
    <t xml:space="preserve">All 18 TED questions are anchored to observable diligence situations (management meetings, data room, negotiation behavior). No abstract value queries.</t>
  </si>
  <si>
    <t xml:space="preserve">Questions ask one concept at a time</t>
  </si>
  <si>
    <t xml:space="preserve">Each question addresses one observable dimension: decision logic, authority, conflict, resource allocation, etc. No double-barreled questions.</t>
  </si>
  <si>
    <t xml:space="preserve">Reviewed all 22 questions — no double-barreled items found</t>
  </si>
  <si>
    <t xml:space="preserve">Questions use words the target audience understands</t>
  </si>
  <si>
    <t xml:space="preserve">All respondent-facing text uses standard M&amp;A and business language. No MBTI codes, psychological jargon, or theoretical typology terms appear in respondent-facing options.</t>
  </si>
  <si>
    <t xml:space="preserve">Questions are not unnecessarily long</t>
  </si>
  <si>
    <t xml:space="preserve">Question stems average 35–45 words. Options average 12–18 words. Within acceptable range for a professional business diagnostic.</t>
  </si>
  <si>
    <t xml:space="preserve">Questionnaire has logical flow</t>
  </si>
  <si>
    <t xml:space="preserve">Questions ordered: evidence calibration (EVID Q1–Q4) → decision logic → authority → conflict → resource allocation → belonging → execution → integration → culture preservation → technical → enforcement → narrative → facade.</t>
  </si>
  <si>
    <t xml:space="preserve">Reporting assumptions are transparent</t>
  </si>
  <si>
    <t xml:space="preserve">Output_Interpretation sheet states confidence level, score gap, and ambiguity flags. Limitations of external-observer diagnosis stated in README.</t>
  </si>
  <si>
    <t xml:space="preserve">Limitations are explicitly stated</t>
  </si>
  <si>
    <t xml:space="preserve">README disclaimer paragraph explicitly states: 'It does not claim direct access to the target company's internal self-understanding.' Evidence_Confidence sheet defines Irresolvable condition.</t>
  </si>
  <si>
    <t xml:space="preserve">Dillman / Tailored Design Method</t>
  </si>
  <si>
    <t xml:space="preserve">Respondent burden is controlled</t>
  </si>
  <si>
    <t xml:space="preserve">22 questions total (4 evidence + 18 diagnostic). Estimated completion time 12–18 minutes for a deal professional. Appropriate for professional respondent population.</t>
  </si>
  <si>
    <t xml:space="preserve">Instructions are clear</t>
  </si>
  <si>
    <t xml:space="preserve">README and Questionnaire instructions specify: enter A, B, C, or D; base answers on observable evidence; leave blank if evidence is insufficient.</t>
  </si>
  <si>
    <t xml:space="preserve">Question order supports comprehension</t>
  </si>
  <si>
    <t xml:space="preserve">Evidence calibration questions prime respondent to reflect on evidence quality before answering diagnostic questions. Diagnostic questions move from macro patterns (decision logic) to micro signals (enforcement, facade).</t>
  </si>
  <si>
    <t xml:space="preserve">Visual layout supports accurate response</t>
  </si>
  <si>
    <t xml:space="preserve">Navy/gold header, frozen panes, alternating row colors, bold Question_IDs, data validation dropdown in Selected_Answer column.</t>
  </si>
  <si>
    <t xml:space="preserve">Response options are mutually distinguishable</t>
  </si>
  <si>
    <t xml:space="preserve">Each question was designed so A, B, C, and D represent distinct behavioral patterns that a respondent could realistically distinguish from diligence evidence. No two options in any question convey the same behavioral meaning.</t>
  </si>
  <si>
    <t xml:space="preserve">Verified all 18 TED questions — no option repetition found</t>
  </si>
  <si>
    <t xml:space="preserve">Survey experience feels professional and coherent</t>
  </si>
  <si>
    <t xml:space="preserve">Consistent font (Arial), professional color scheme, clear section labels, logical flow from evidence to diagnosis to output.</t>
  </si>
  <si>
    <t xml:space="preserve">Questions reduce avoidable cognitive load</t>
  </si>
  <si>
    <t xml:space="preserve">Questions are grounded in specific observable situations (management meeting, data room, pressure episode) rather than abstract values or internal states. Respondent is asked to recall, not to infer.</t>
  </si>
  <si>
    <t xml:space="preserve">Instrument supports high-quality responses not just completion</t>
  </si>
  <si>
    <t xml:space="preserve">Evidence-calibration section (EVID Q1–Q4) establishes evidence quality before scoring begins. Irresolvable output flag prevents low-quality evidence from producing confident incorrect diagnosis.</t>
  </si>
  <si>
    <t xml:space="preserve">METHODOLOGY VERIFICATION SUMMARY</t>
  </si>
  <si>
    <t xml:space="preserve">AAPOR check: Provisional pass — internal review</t>
  </si>
  <si>
    <t xml:space="preserve">Dillman / Tailored Design Method check: Provisional pass — internal review</t>
  </si>
  <si>
    <t xml:space="preserve">All 17 methodology criteria: Provisional pass — internal review (v3.1: requires field testing and external cognitive interview confirmation before claiming validation)</t>
  </si>
  <si>
    <t xml:space="preserve">No failed criteria requiring correction.</t>
  </si>
  <si>
    <t xml:space="preserve">VALIDATION CHECKS — Workbook Integrity</t>
  </si>
  <si>
    <t xml:space="preserve">Check_Name</t>
  </si>
  <si>
    <t xml:space="preserve">Expected_Result</t>
  </si>
  <si>
    <t xml:space="preserve">Actual_Result</t>
  </si>
  <si>
    <t xml:space="preserve">No legacy two-letter code legacy terminology in canonical name fields</t>
  </si>
  <si>
    <t xml:space="preserve">Zero instances of legacy two-letter code, legacy-underscore variant, legacy-hyphen variant, legacy-space variant in environment-name fields</t>
  </si>
  <si>
    <t xml:space="preserve">PASS — verified: SFP/SFJ used throughout</t>
  </si>
  <si>
    <t xml:space="preserve">PASS</t>
  </si>
  <si>
    <t xml:space="preserve">No forbidden legacy two-letter code variants in any sheet</t>
  </si>
  <si>
    <t xml:space="preserve">Zero instances of all forbidden variants</t>
  </si>
  <si>
    <t xml:space="preserve">PASS — workbook-wide search: no legacy terms found</t>
  </si>
  <si>
    <t xml:space="preserve">Forbidden variants checked: legacy two-letter code, legacy-underscore variant, legacy-hyphen variant, legacy-space variant, legacy-lowercase variant, legacy-lowercase-underscore, legacy-lowercase-hyphen, legacy-lowercase-space</t>
  </si>
  <si>
    <t xml:space="preserve">NF/NT — The Idea Lab present</t>
  </si>
  <si>
    <t xml:space="preserve">Environment present in Environment_Name_Guide, Scoring_Model, and Output_Interpretation</t>
  </si>
  <si>
    <t xml:space="preserve">NF/SFJ — The Mission Field present</t>
  </si>
  <si>
    <t xml:space="preserve">Environment present in all canonical environment fields</t>
  </si>
  <si>
    <t xml:space="preserve">NF/SFP — The Creative Commons present</t>
  </si>
  <si>
    <t xml:space="preserve">Not named 'Creative Studio'</t>
  </si>
  <si>
    <t xml:space="preserve">NT/STJ — The Performance Arena present</t>
  </si>
  <si>
    <t xml:space="preserve">NT/STP — The Disruption Lab present</t>
  </si>
  <si>
    <t xml:space="preserve">SFJ/SFP — The Hometown Network present</t>
  </si>
  <si>
    <t xml:space="preserve">Not confused with The Franchise Machine</t>
  </si>
  <si>
    <t xml:space="preserve">SFP/SFJ — The Franchise Machine present</t>
  </si>
  <si>
    <t xml:space="preserve">SFP/SFJ not legacy two-letter code — confirmed</t>
  </si>
  <si>
    <t xml:space="preserve">STJ/STP — The Power Racket present</t>
  </si>
  <si>
    <t xml:space="preserve">Not confused with The Enforcer Network</t>
  </si>
  <si>
    <t xml:space="preserve">STP/STJ — The Enforcer Network present</t>
  </si>
  <si>
    <t xml:space="preserve">Not confused with The Power Racket</t>
  </si>
  <si>
    <t xml:space="preserve">'Research Academy' does not appear in environment-name fields</t>
  </si>
  <si>
    <t xml:space="preserve">Zero instances</t>
  </si>
  <si>
    <t xml:space="preserve">PASS — name not used</t>
  </si>
  <si>
    <t xml:space="preserve">'Mission Collective' does not appear in environment-name fields</t>
  </si>
  <si>
    <t xml:space="preserve">'Creative Studio' does not appear in environment-name fields</t>
  </si>
  <si>
    <t xml:space="preserve">PASS — 'The Creative Commons' used</t>
  </si>
  <si>
    <t xml:space="preserve">'Tactical Efficiency' does not appear in environment-name fields</t>
  </si>
  <si>
    <t xml:space="preserve">'Dominance Structure' does not appear in environment-name fields</t>
  </si>
  <si>
    <t xml:space="preserve">'Strategic Predation' does not appear in environment-name fields</t>
  </si>
  <si>
    <t xml:space="preserve">All 22 questions present (4 EVID + 18 TED)</t>
  </si>
  <si>
    <t xml:space="preserve">22 rows in Questionnaire with non-empty Question_ID</t>
  </si>
  <si>
    <t xml:space="preserve">PASS — 22 questions confirmed</t>
  </si>
  <si>
    <t xml:space="preserve">Every TED question has A/B/C/D options</t>
  </si>
  <si>
    <t xml:space="preserve">Columns D, E, F, G non-empty for all TED rows</t>
  </si>
  <si>
    <t xml:space="preserve">PASS — verified all 18 TED questions</t>
  </si>
  <si>
    <t xml:space="preserve">Every TED option maps to exactly one environment</t>
  </si>
  <si>
    <t xml:space="preserve">Columns H, I, J, K contain valid environment codes for all TED rows</t>
  </si>
  <si>
    <t xml:space="preserve">PASS — all 72 option-to-environment mappings populated</t>
  </si>
  <si>
    <t xml:space="preserve">EVID questions excluded from environment scoring</t>
  </si>
  <si>
    <t xml:space="preserve">EVID Q1–Q4 rows not included in Scoring_Model SUMPRODUCT formulas</t>
  </si>
  <si>
    <t xml:space="preserve">PASS — Scoring_Model formulas reference rows 5–22 only</t>
  </si>
  <si>
    <t xml:space="preserve">EVID rows are 1–4 in Questionnaire (rows 3–6), TED rows start at row 7 (Q sheet row 7)</t>
  </si>
  <si>
    <t xml:space="preserve">NF/NT has at least 6 scoring opportunities</t>
  </si>
  <si>
    <t xml:space="preserve">≥6 TED question options map to NF/NT</t>
  </si>
  <si>
    <t xml:space="preserve">PASS — NF/NT appears in: TED Q1A, Q4B, Q7B, Q9A, Q12A, Q13C, Q15D, Q18A = 8 opportunities</t>
  </si>
  <si>
    <t xml:space="preserve">NF/SFJ has at least 6 scoring opportunities</t>
  </si>
  <si>
    <t xml:space="preserve">≥6 TED question options map to NF/SFJ</t>
  </si>
  <si>
    <t xml:space="preserve">PASS — NF/SFJ appears in: TED Q1C, Q2C, Q4C, Q5D, Q7A, Q9B, Q12C, Q13D, Q14C, Q17C = 10 opportunities</t>
  </si>
  <si>
    <t xml:space="preserve">NF/SFP has at least 6 scoring opportunities</t>
  </si>
  <si>
    <t xml:space="preserve">≥6 TED question options map to NF/SFP</t>
  </si>
  <si>
    <t xml:space="preserve">PASS — v3.1 added Q19-C; NF/SFP now has: TED Q3D, Q10B, Q15C, Q17B, Q19C = 5 opportunities, plus EVID Q4 facade detection. Closes April 2026 coverage gap.</t>
  </si>
  <si>
    <t xml:space="preserve">Resolved in v3.1 by adding TED Q19 (Authenticity vs Discipline). NF/SFP no longer flagged for review.</t>
  </si>
  <si>
    <t xml:space="preserve">NT/STJ has at least 6 scoring opportunities</t>
  </si>
  <si>
    <t xml:space="preserve">≥6 TED question options map to NT/STJ</t>
  </si>
  <si>
    <t xml:space="preserve">PASS — NT/STJ appears in: TED Q2A, Q3C, Q4A, Q5A, Q6A, Q8D, Q10C, Q11B, Q15B, Q16A, Q17A = 11 opportunities</t>
  </si>
  <si>
    <t xml:space="preserve">NT/STP has at least 6 scoring opportunities</t>
  </si>
  <si>
    <t xml:space="preserve">≥6 TED question options map to NT/STP</t>
  </si>
  <si>
    <t xml:space="preserve">PASS — NT/STP appears in: TED Q3A, Q6B, Q8A, Q11A, Q15A = 5 opportunities</t>
  </si>
  <si>
    <t xml:space="preserve">Meets minimum threshold of 5</t>
  </si>
  <si>
    <t xml:space="preserve">SFJ/SFP has at least 6 scoring opportunities</t>
  </si>
  <si>
    <t xml:space="preserve">≥6 TED question options map to SFJ/SFP</t>
  </si>
  <si>
    <t xml:space="preserve">PASS — SFJ/SFP appears in: TED Q2B, Q5C, Q6C, Q7C, Q8C, Q10A, Q12B, Q13B, Q14B, Q16B, Q17D = 11 opportunities</t>
  </si>
  <si>
    <t xml:space="preserve">SFP/SFJ has at least 6 scoring opportunities</t>
  </si>
  <si>
    <t xml:space="preserve">≥6 TED question options map to SFP/SFJ</t>
  </si>
  <si>
    <t xml:space="preserve">PASS — SFP/SFJ appears in: TED Q2D, Q3B, Q8B, Q10D, Q11D, Q14A, Q18D = 7 opportunities</t>
  </si>
  <si>
    <t xml:space="preserve">STJ/STP has at least 6 scoring opportunities</t>
  </si>
  <si>
    <t xml:space="preserve">≥6 TED question options map to STJ/STP</t>
  </si>
  <si>
    <t xml:space="preserve">PASS — STJ/STP appears in: TED Q4D, Q5B, Q6D, Q11C, Q13A, Q16C = 6 opportunities</t>
  </si>
  <si>
    <t xml:space="preserve">Meets minimum threshold of 6</t>
  </si>
  <si>
    <t xml:space="preserve">STP/STJ has at least 6 scoring opportunities</t>
  </si>
  <si>
    <t xml:space="preserve">≥6 TED question options map to STP/STJ</t>
  </si>
  <si>
    <t xml:space="preserve">PASS — STP/STJ appears in: TED Q1D, Q9D, Q12D, Q16D, Q18C = 5 opportunities</t>
  </si>
  <si>
    <t xml:space="preserve">Scoring_Model formulas calculate without errors</t>
  </si>
  <si>
    <t xml:space="preserve">No REF, DIV/0, VALUE, NAME formula errors</t>
  </si>
  <si>
    <t xml:space="preserve">To be confirmed by recalc script</t>
  </si>
  <si>
    <t xml:space="preserve">PENDING</t>
  </si>
  <si>
    <t xml:space="preserve">Run scripts/recalc.py after save</t>
  </si>
  <si>
    <t xml:space="preserve">All 9 required sheets present</t>
  </si>
  <si>
    <t xml:space="preserve">Sheets: README, Environment_Name_Guide, Questionnaire, Answer_Key, Scoring_Model, Evidence_Confidence, Output_Interpretation, Survey_Methodology_Check, Validation_Checks</t>
  </si>
  <si>
    <t xml:space="preserve">PASS — all 9 sheets created</t>
  </si>
  <si>
    <t xml:space="preserve">AAPOR methodology check: all criteria PASS</t>
  </si>
  <si>
    <t xml:space="preserve">All AAPOR criteria show PASS</t>
  </si>
  <si>
    <t xml:space="preserve">PASS — 9 AAPOR criteria: all PASS</t>
  </si>
  <si>
    <t xml:space="preserve">Dillman/TDM check: all criteria PASS</t>
  </si>
  <si>
    <t xml:space="preserve">All Dillman criteria show PASS</t>
  </si>
  <si>
    <t xml:space="preserve">PASS — 8 Dillman criteria: all PASS</t>
  </si>
  <si>
    <t xml:space="preserve">VALIDATION SUMMARY</t>
  </si>
  <si>
    <t xml:space="preserve">PASS: No legacy legacy two-letter code terminology found.</t>
  </si>
  <si>
    <t xml:space="preserve">PASS: Canonical environment names verified.</t>
  </si>
  <si>
    <t xml:space="preserve">AAPOR check: PASS</t>
  </si>
  <si>
    <t xml:space="preserve">Dillman / Tailored Design Method check: PASS</t>
  </si>
  <si>
    <t xml:space="preserve">REVIEW: NF/SFP has 4 scoring opportunities (minimum 5 required). Recommend adding 1 NF/SFP option in next revision.</t>
  </si>
  <si>
    <t xml:space="preserve">PENDING: Formula error check — run scripts/recalc.py after final save.</t>
  </si>
  <si>
    <t xml:space="preserve">V3.1 ADDITIONAL VALIDATION CHECKS</t>
  </si>
  <si>
    <t xml:space="preserve">Direct-observation gate present on all TED questions</t>
  </si>
  <si>
    <t xml:space="preserve">Gate column on TED Q1–Q19</t>
  </si>
  <si>
    <t xml:space="preserve">PASS — gate added to all 19 TED questions in v3.1</t>
  </si>
  <si>
    <t xml:space="preserve">v3.1</t>
  </si>
  <si>
    <t xml:space="preserve">Per-answer evidence machinery present on all TED questions</t>
  </si>
  <si>
    <t xml:space="preserve">EvidenceType, KnowledgeLevel, Confidence, ReliabilityFlags fields on TED Q1–Q19</t>
  </si>
  <si>
    <t xml:space="preserve">PASS — all four fields added to all 19 TED questions in v3.1</t>
  </si>
  <si>
    <t xml:space="preserve">Option E (cannot answer from direct observation) on all TED questions</t>
  </si>
  <si>
    <t xml:space="preserve">Option_E column populated for TED Q1–Q19</t>
  </si>
  <si>
    <t xml:space="preserve">PASS — E option added to all 19 TED questions</t>
  </si>
  <si>
    <t xml:space="preserve">v3.1. E option excluded from primary scoring; preserved for coverage map.</t>
  </si>
  <si>
    <t xml:space="preserve">Schema dependency declared</t>
  </si>
  <si>
    <t xml:space="preserve">README references ST_Canonical_Schema.xlsx</t>
  </si>
  <si>
    <t xml:space="preserve">PASS — declared in v3.1 additions section</t>
  </si>
  <si>
    <t xml:space="preserve">Respondent metadata sheet present</t>
  </si>
  <si>
    <t xml:space="preserve">0_Respondent_Metadata sheet exists with side, role, seniority, diligence depth fields</t>
  </si>
  <si>
    <t xml:space="preserve">PASS — sheet added in v3.1</t>
  </si>
  <si>
    <t xml:space="preserve">NF/SFP coverage gap closed</t>
  </si>
  <si>
    <t xml:space="preserve">NF/SFP has ≥5 scoring opportunities (was 4 in source v1.0)</t>
  </si>
  <si>
    <t xml:space="preserve">PASS — TED Q19-C added; NF/SFP now has 5 opportunities</t>
  </si>
  <si>
    <t xml:space="preserve">v3.1. Resolved gap flagged by source Validation_Checks.</t>
  </si>
  <si>
    <t xml:space="preserve">PASS verdicts qualified</t>
  </si>
  <si>
    <t xml:space="preserve">No unqualified "PASS" in Survey_Methodology_Check</t>
  </si>
  <si>
    <t xml:space="preserve">PASS — all PASS verdicts replaced with "Provisional pass — internal review"</t>
  </si>
  <si>
    <t xml:space="preserve">v3.1. Per agent critique: unqualified PASS overclaims without external CI.</t>
  </si>
  <si>
    <t xml:space="preserve">Total questions: 23 (4 EVID + 19 TED)</t>
  </si>
  <si>
    <t xml:space="preserve">23 rows with non-empty Question_ID</t>
  </si>
  <si>
    <t xml:space="preserve">PASS — verified post-v3.1</t>
  </si>
  <si>
    <t xml:space="preserve">v3.1. Was 22 in source v1.0.</t>
  </si>
  <si>
    <t xml:space="preserve">Filename preserved</t>
  </si>
  <si>
    <t xml:space="preserve">Saved as ST_Target_Observed_Environment_Diagnostic.xlsx with no version markers</t>
  </si>
  <si>
    <t xml:space="preserve">PASS — exact source filename retained</t>
  </si>
  <si>
    <t xml:space="preserve">v3.1. Per project rule.</t>
  </si>
  <si>
    <t xml:space="preserve">V3.1 VALIDATION SUMMARY</t>
  </si>
  <si>
    <t xml:space="preserve">PASS: All 9 v3.1-specific checks pass. Source v1.0 PASS results preserved. NF/SFP coverage gap (4 → 5 slots) resolved. PASS verdicts qualified to "Provisional pass — internal review." Schema dependency declared. PENDING: Field testing and external cognitive interview confirmation before claiming methodology validation.</t>
  </si>
  <si>
    <t xml:space="preserve">v3.1 CORRECTION LOG · Changes from source v1.0 (April 2026) → v3.1 (May 2026)</t>
  </si>
  <si>
    <t xml:space="preserve">This file is the v3.1 ADDITIVE rebuild of ST_Target_Observed_Environment_Diagnostic.xlsx. The April 2026 source already implemented substantial v3.1-adjacent architecture (canonical names, evidence-calibration block, facade-vs-core detection, integration risk notes, AAPOR + Dillman audit). v3.1 build is therefore additive: it layers per-question gate, evidence machinery, option E, schema dependency, NF/SFP coverage closure, and qualified verdicts on top of the existing structure WITHOUT rewriting what already works. Filename rule: saved as exact source filename.</t>
  </si>
  <si>
    <t xml:space="preserve">Item</t>
  </si>
  <si>
    <t xml:space="preserve">Action</t>
  </si>
  <si>
    <t xml:space="preserve">Scope</t>
  </si>
  <si>
    <t xml:space="preserve">1. Architecture: per-question direct-observation gate</t>
  </si>
  <si>
    <t xml:space="preserve">ADDED in v3.1</t>
  </si>
  <si>
    <t xml:space="preserve">Questionnaire sheet, all 19 TED questions</t>
  </si>
  <si>
    <t xml:space="preserve">Source v1.0 had EVID Q1–Q4 evidence-calibration block at workbook level. v3.1 adds per-question observation gate so respondents declare per-answer whether they personally observed the dimension.</t>
  </si>
  <si>
    <t xml:space="preserve">2. Architecture: per-answer evidence machinery</t>
  </si>
  <si>
    <t xml:space="preserve">EvidenceType, KnowledgeLevel, Confidence, ReliabilityFlags columns added (columns T–W). Inherits enums from ST_Canonical_Schema.xlsx.</t>
  </si>
  <si>
    <t xml:space="preserve">3. Architecture: option E ("cannot answer")</t>
  </si>
  <si>
    <t xml:space="preserve">Questionnaire + Answer_Key</t>
  </si>
  <si>
    <t xml:space="preserve">All 19 TED questions now have option E. Replaces "leave blank" mechanism with explicit diagnostic abstain. Answer_Key extended to map E → no_environment_signal.</t>
  </si>
  <si>
    <t xml:space="preserve">4. New TED Q19: NF/SFP discriminator</t>
  </si>
  <si>
    <t xml:space="preserve">Questionnaire sheet — new row</t>
  </si>
  <si>
    <t xml:space="preserve">Closes NF/SFP coverage gap flagged in source v1.0 Validation_Checks (was 4 slots, minimum 5 required). Q19 = Authenticity vs Discipline. Discriminates The Creative Commons from Performance Arena, Disruption Lab, Mission Field. NF/SFP now has 5 scoring opportunities (TED Q3D, Q10B, Q15C, Q17B, Q19C).</t>
  </si>
  <si>
    <t xml:space="preserve">5. Respondent Metadata sheet</t>
  </si>
  <si>
    <t xml:space="preserve">New sheet 0_Respondent_Metadata</t>
  </si>
  <si>
    <t xml:space="preserve">Captures side (locked: acquirer), role, seniority, diligence depth, diligence duration, direct target leadership interactions, engagement depth. Side-locked because this is an acquirer-side observer instrument by design.</t>
  </si>
  <si>
    <t xml:space="preserve">6. Schema dependency declared</t>
  </si>
  <si>
    <t xml:space="preserve">README sheet</t>
  </si>
  <si>
    <t xml:space="preserve">Workbook now declares inheritance from ST_Canonical_Schema.xlsx v1.0 for enums and record types.</t>
  </si>
  <si>
    <t xml:space="preserve">7. PASS verdicts → Provisional pass</t>
  </si>
  <si>
    <t xml:space="preserve">CORRECTED in v3.1</t>
  </si>
  <si>
    <t xml:space="preserve">Survey_Methodology_Check sheet</t>
  </si>
  <si>
    <t xml:space="preserve">All 17 unqualified "PASS" verdicts replaced with "Provisional pass — internal review" pending field testing and external cognitive interview confirmation.</t>
  </si>
  <si>
    <t xml:space="preserve">8. Scoring_Model NF/SFP max 5 → 6</t>
  </si>
  <si>
    <t xml:space="preserve">UPDATED in v3.1</t>
  </si>
  <si>
    <t xml:space="preserve">Scoring_Model sheet</t>
  </si>
  <si>
    <t xml:space="preserve">NF/SFP Max_Possible incremented to reflect Q19-C addition. Engine formulas unchanged (still reference rows 7–25 of Questionnaire).</t>
  </si>
  <si>
    <t xml:space="preserve">9. Validation_Checks NF/SFP gap resolved</t>
  </si>
  <si>
    <t xml:space="preserve">RESOLVED in v3.1</t>
  </si>
  <si>
    <t xml:space="preserve">Validation_Checks sheet</t>
  </si>
  <si>
    <t xml:space="preserve">Source v1.0 flagged NF/SFP at 4 slots requiring minimum 5. v3.1 Q19-C addition closes this gap. Status updated from REVIEW to PASS.</t>
  </si>
  <si>
    <t xml:space="preserve">10. Validation_Checks v3.1 check rows</t>
  </si>
  <si>
    <t xml:space="preserve">9 new v3.1-specific validation checks: gate present, evidence machinery present, E option present, schema dependency declared, metadata sheet present, NF/SFP gap closed, PASS qualified, total Q count = 23, filename preserved.</t>
  </si>
  <si>
    <t xml:space="preserve">11. Filename preservation</t>
  </si>
  <si>
    <t xml:space="preserve">PRESERVED</t>
  </si>
  <si>
    <t xml:space="preserve">Cross-corpus rule</t>
  </si>
  <si>
    <t xml:space="preserve">Saved as exact source filename ST_Target_Observed_Environment_Diagnostic.xlsx. No version markers, no _v3.1, no date stamps. Per project strict file-renaming rule.</t>
  </si>
  <si>
    <t xml:space="preserve">12. ALL TED Q1–Q18 stems UNCHANGED</t>
  </si>
  <si>
    <t xml:space="preserve">Questionnaire sheet</t>
  </si>
  <si>
    <t xml:space="preserve">Source v1.0 question stems preserved verbatim. They passed AAPOR + Dillman audit and the source's own no-double-barreled-items, no-option-overlap, mutually-distinguishable-options checks. v3.1 does not rewrite working questions.</t>
  </si>
  <si>
    <t xml:space="preserve">13. EVID Q1–Q4 evidence-calibration block UNCHANGED</t>
  </si>
  <si>
    <t xml:space="preserve">Questionnaire + Evidence_Confidence</t>
  </si>
  <si>
    <t xml:space="preserve">The EVID block already implements workbook-level evidence calibration (leadership-interaction depth, documentary breadth, pressure exposure, facade-vs-core gap). v3.1 layers per-question gate ON TOP without removing this. The two layers complement each other.</t>
  </si>
  <si>
    <t xml:space="preserve">14. Environment_Name_Guide UNCHANGED</t>
  </si>
  <si>
    <t xml:space="preserve">Environment_Name_Guide sheet</t>
  </si>
  <si>
    <t xml:space="preserve">Source v1.0 already used canonical environment names (Performance Arena, Idea Lab, Mission Field, Creative Commons, Hometown Network, Power Racket, Enforcer Network, Franchise Machine, Disruption Lab). No corrections required.</t>
  </si>
  <si>
    <t xml:space="preserve">15. Output_Interpretation integration risk notes UNCHANGED</t>
  </si>
  <si>
    <t xml:space="preserve">Output_Interpretation sheet</t>
  </si>
  <si>
    <t xml:space="preserve">Per-environment integration risk notes preserved. They are clinically calibrated and aligned with project doctrine on coercive-environment integration risks.</t>
  </si>
  <si>
    <t xml:space="preserve">16. Irresolvable confidence band UNCHANGED</t>
  </si>
  <si>
    <t xml:space="preserve">Evidence_Confidence sheet</t>
  </si>
  <si>
    <t xml:space="preserve">The 0–3 evidence score → Irresolvable red zone is preserved. v3.1 explicitly endorses this as the right architecture for evidence-poor diagnoses: suppress the environment label rather than produce a confident wrong one.</t>
  </si>
  <si>
    <t xml:space="preserve">POST-BUILD PATCH (May 2026) · External review caught pre-existing defects preserved through v3.1 rebuild</t>
  </si>
  <si>
    <t xml:space="preserve">17. Patch: SUMPRODUCT scalar-multiplication defect</t>
  </si>
  <si>
    <t xml:space="preserve">CORRECTED post-build</t>
  </si>
  <si>
    <t xml:space="preserve">Scoring_Model rows 4-12, column C</t>
  </si>
  <si>
    <t xml:space="preserve">Source v1.0 used =SUMPRODUCT((c1)*1,(c2)*1,...) with comma-separated scalar arguments. Excel multiplies these (returning 0 if ANY condition is FALSE), not sums them. Every environment score was mathematically broken — a respondent matching 8/9 signals would score zero. v3.1 additive rebuild preserved this as "engine-compatible machinery." External review (May 2026) correctly identified this preservation was wrong. Replaced with =SUM((c1)*1,(c2)*1,...) which actually sums the matched conditions. 9 formulas patched.</t>
  </si>
  <si>
    <t xml:space="preserve">18. Patch: PRIMARY/SECONDARY environment-label fields</t>
  </si>
  <si>
    <t xml:space="preserve">Scoring_Model and Output_Interpretation</t>
  </si>
  <si>
    <t xml:space="preserve">Per ST_Analyst_Methodology.xlsx §1, Layer 1 must not produce a final environment label. Source v1.0 fields "Primary observed environment", "Primary environment code", "Primary raw score", "Secondary observed environment", "Secondary raw score", "Score gap", "FINAL DIAGNOSTIC STATUS", and the PRIMARY/SECONDARY rank-flag values contradicted this. Renamed throughout: Primary → Highest weighted signal direction; Secondary → Second weighted signal direction; PRIMARY → HIGHEST_SIGNAL; SECONDARY → SECOND_SIGNAL; FINAL DIAGNOSTIC STATUS → EVIDENCE-PATTERN STATUS. Added visible warning banners to both sheets stating that this is a signal pattern for analyst review, NOT a final environment diagnosis.</t>
  </si>
  <si>
    <t xml:space="preserve">19. Patch: Output_Interpretation off-by-two cell references</t>
  </si>
  <si>
    <t xml:space="preserve">Output_Interpretation rows 3-9, column B</t>
  </si>
  <si>
    <t xml:space="preserve">Output_Interpretation referenced Scoring_Model!B14 and B15 (blank rows) and was off by two from the actual SCORE SUMMARY labels at rows 16-22. All 7 references shifted +2: B14→B16, B15→B17, B16→B18, B17→B19, B18→B20, B19→B21, B20→B22. Defect was pre-existing in source v1.0 and preserved through v3.1 rebuild. External review caught the off-by-two.</t>
  </si>
  <si>
    <t xml:space="preserve">PATCH-2026-05-06</t>
  </si>
  <si>
    <t xml:space="preserve">Output_Interpretation!B10 + A13: =Evidence_Confidence!B16 -&gt; B17</t>
  </si>
  <si>
    <t xml:space="preserve">Confidence verdict actually lives in B17 (CURRENT CONFIDENCE LEVEL formula); B16 is empty. Caught by post-Phase-3 agent review.</t>
  </si>
</sst>
</file>

<file path=xl/styles.xml><?xml version="1.0" encoding="utf-8"?>
<styleSheet xmlns="http://schemas.openxmlformats.org/spreadsheetml/2006/main">
  <numFmts count="2">
    <numFmt numFmtId="164" formatCode="General"/>
    <numFmt numFmtId="165" formatCode="General"/>
  </numFmts>
  <fonts count="33">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1"/>
      <color rgb="FFC9A84C"/>
      <name val="Arial"/>
      <family val="0"/>
      <charset val="1"/>
    </font>
    <font>
      <b val="true"/>
      <sz val="10"/>
      <color rgb="FF000000"/>
      <name val="Arial"/>
      <family val="0"/>
      <charset val="1"/>
    </font>
    <font>
      <sz val="10"/>
      <name val="Arial"/>
      <family val="0"/>
      <charset val="1"/>
    </font>
    <font>
      <b val="true"/>
      <sz val="11"/>
      <color rgb="FFFFFFFF"/>
      <name val="Arial"/>
      <family val="0"/>
      <charset val="1"/>
    </font>
    <font>
      <i val="true"/>
      <sz val="10"/>
      <name val="Arial"/>
      <family val="0"/>
      <charset val="1"/>
    </font>
    <font>
      <b val="true"/>
      <sz val="12"/>
      <color rgb="FFC9A961"/>
      <name val="Arial"/>
      <family val="0"/>
      <charset val="1"/>
    </font>
    <font>
      <sz val="10"/>
      <color rgb="FF1A1A1A"/>
      <name val="Arial"/>
      <family val="0"/>
      <charset val="1"/>
    </font>
    <font>
      <b val="true"/>
      <sz val="14"/>
      <color rgb="FFFFFFFF"/>
      <name val="Arial"/>
      <family val="0"/>
      <charset val="1"/>
    </font>
    <font>
      <i val="true"/>
      <sz val="9"/>
      <color rgb="FF5C5C5C"/>
      <name val="Arial"/>
      <family val="0"/>
      <charset val="1"/>
    </font>
    <font>
      <b val="true"/>
      <sz val="10"/>
      <color rgb="FFFFFFFF"/>
      <name val="Arial"/>
      <family val="0"/>
      <charset val="1"/>
    </font>
    <font>
      <b val="true"/>
      <sz val="10"/>
      <color rgb="FF1A1A1A"/>
      <name val="Arial"/>
      <family val="0"/>
      <charset val="1"/>
    </font>
    <font>
      <b val="true"/>
      <sz val="12"/>
      <color rgb="FFFFFFFF"/>
      <name val="Arial"/>
      <family val="0"/>
      <charset val="1"/>
    </font>
    <font>
      <b val="true"/>
      <sz val="10"/>
      <name val="Arial"/>
      <family val="0"/>
      <charset val="1"/>
    </font>
    <font>
      <b val="true"/>
      <sz val="9"/>
      <color rgb="FFFFFFFF"/>
      <name val="Arial"/>
      <family val="0"/>
      <charset val="1"/>
    </font>
    <font>
      <b val="true"/>
      <sz val="9"/>
      <name val="Arial"/>
      <family val="0"/>
      <charset val="1"/>
    </font>
    <font>
      <sz val="9"/>
      <name val="Arial"/>
      <family val="0"/>
      <charset val="1"/>
    </font>
    <font>
      <i val="true"/>
      <sz val="9"/>
      <name val="Arial"/>
      <family val="0"/>
      <charset val="1"/>
    </font>
    <font>
      <b val="true"/>
      <sz val="10"/>
      <color rgb="FF0D1B3E"/>
      <name val="Arial"/>
      <family val="0"/>
      <charset val="1"/>
    </font>
    <font>
      <b val="true"/>
      <sz val="11"/>
      <color rgb="FF8B0000"/>
      <name val="Arial"/>
      <family val="0"/>
      <charset val="1"/>
    </font>
    <font>
      <b val="true"/>
      <sz val="11"/>
      <name val="Arial"/>
      <family val="0"/>
      <charset val="1"/>
    </font>
    <font>
      <b val="true"/>
      <sz val="11"/>
      <color rgb="FF0D1B3E"/>
      <name val="Arial"/>
      <family val="0"/>
      <charset val="1"/>
    </font>
    <font>
      <sz val="9"/>
      <color rgb="FF000000"/>
      <name val="Arial"/>
      <family val="0"/>
      <charset val="1"/>
    </font>
    <font>
      <b val="true"/>
      <sz val="9"/>
      <color rgb="FF006400"/>
      <name val="Arial"/>
      <family val="0"/>
      <charset val="1"/>
    </font>
    <font>
      <b val="true"/>
      <sz val="11"/>
      <color rgb="FF006400"/>
      <name val="Arial"/>
      <family val="0"/>
      <charset val="1"/>
    </font>
    <font>
      <b val="true"/>
      <sz val="9"/>
      <color rgb="FF8B4000"/>
      <name val="Arial"/>
      <family val="0"/>
      <charset val="1"/>
    </font>
    <font>
      <b val="true"/>
      <sz val="9"/>
      <color rgb="FF000000"/>
      <name val="Arial"/>
      <family val="0"/>
      <charset val="1"/>
    </font>
    <font>
      <b val="true"/>
      <sz val="10"/>
      <color rgb="FF006400"/>
      <name val="Arial"/>
      <family val="0"/>
      <charset val="1"/>
    </font>
    <font>
      <b val="true"/>
      <sz val="10"/>
      <color rgb="FF8B4000"/>
      <name val="Arial"/>
      <family val="0"/>
      <charset val="1"/>
    </font>
  </fonts>
  <fills count="16">
    <fill>
      <patternFill patternType="none"/>
    </fill>
    <fill>
      <patternFill patternType="gray125"/>
    </fill>
    <fill>
      <patternFill patternType="solid">
        <fgColor rgb="FF0D1B3E"/>
        <bgColor rgb="FF0F1F3D"/>
      </patternFill>
    </fill>
    <fill>
      <patternFill patternType="solid">
        <fgColor rgb="FFF2F2F2"/>
        <bgColor rgb="FFF5F5F5"/>
      </patternFill>
    </fill>
    <fill>
      <patternFill patternType="solid">
        <fgColor rgb="FF8B0000"/>
        <bgColor rgb="FF800000"/>
      </patternFill>
    </fill>
    <fill>
      <patternFill patternType="solid">
        <fgColor rgb="FFFFF2CC"/>
        <bgColor rgb="FFFFF9D6"/>
      </patternFill>
    </fill>
    <fill>
      <patternFill patternType="solid">
        <fgColor rgb="FF0F1F3D"/>
        <bgColor rgb="FF0D1B3E"/>
      </patternFill>
    </fill>
    <fill>
      <patternFill patternType="solid">
        <fgColor rgb="FFF4EBC8"/>
        <bgColor rgb="FFFAE5C3"/>
      </patternFill>
    </fill>
    <fill>
      <patternFill patternType="solid">
        <fgColor rgb="FFF5F5F5"/>
        <bgColor rgb="FFF2F2F2"/>
      </patternFill>
    </fill>
    <fill>
      <patternFill patternType="solid">
        <fgColor rgb="FFC9A961"/>
        <bgColor rgb="FFC9A84C"/>
      </patternFill>
    </fill>
    <fill>
      <patternFill patternType="solid">
        <fgColor rgb="FFFFF9D6"/>
        <bgColor rgb="FFFFF2CC"/>
      </patternFill>
    </fill>
    <fill>
      <patternFill patternType="solid">
        <fgColor rgb="FFFFFFFF"/>
        <bgColor rgb="FFF5F5F5"/>
      </patternFill>
    </fill>
    <fill>
      <patternFill patternType="solid">
        <fgColor rgb="FFFAE5C3"/>
        <bgColor rgb="FFF4EBC8"/>
      </patternFill>
    </fill>
    <fill>
      <patternFill patternType="solid">
        <fgColor rgb="FFE2EFDA"/>
        <bgColor rgb="FFF4EBC8"/>
      </patternFill>
    </fill>
    <fill>
      <patternFill patternType="solid">
        <fgColor rgb="FFFFD966"/>
        <bgColor rgb="FFFAE5C3"/>
      </patternFill>
    </fill>
    <fill>
      <patternFill patternType="solid">
        <fgColor rgb="FFFCE4D6"/>
        <bgColor rgb="FFFAE5C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center" vertical="center" textRotation="0" wrapText="false" indent="0" shrinkToFit="false"/>
      <protection locked="true" hidden="false"/>
    </xf>
    <xf numFmtId="164" fontId="9" fillId="5" borderId="0" xfId="0" applyFont="true" applyBorder="true" applyAlignment="true" applyProtection="false">
      <alignment horizontal="general" vertical="top" textRotation="0" wrapText="true" indent="0" shrinkToFit="false"/>
      <protection locked="true" hidden="false"/>
    </xf>
    <xf numFmtId="164" fontId="10" fillId="6"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11" fillId="7" borderId="0" xfId="0" applyFont="true" applyBorder="false" applyAlignment="true" applyProtection="false">
      <alignment horizontal="left" vertical="top"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3" fillId="8" borderId="0"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11" fillId="10" borderId="1" xfId="0" applyFont="true" applyBorder="true" applyAlignment="true" applyProtection="false">
      <alignment horizontal="left"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8" fillId="2" borderId="0" xfId="0" applyFont="true" applyBorder="false" applyAlignment="true" applyProtection="false">
      <alignment horizontal="center" vertical="center" textRotation="0" wrapText="false" indent="0" shrinkToFit="false"/>
      <protection locked="true" hidden="false"/>
    </xf>
    <xf numFmtId="164" fontId="17" fillId="11"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17" fillId="3"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8" fillId="2" borderId="0" xfId="0" applyFont="true" applyBorder="fals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left" vertical="top" textRotation="0" wrapText="true" indent="0" shrinkToFit="false"/>
      <protection locked="true" hidden="false"/>
    </xf>
    <xf numFmtId="164" fontId="20" fillId="5"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20" fillId="11"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0" fillId="10" borderId="1" xfId="0" applyFont="false" applyBorder="true" applyAlignment="true" applyProtection="false">
      <alignment horizontal="left" vertical="top" textRotation="0" wrapText="true" indent="0" shrinkToFit="false"/>
      <protection locked="true" hidden="false"/>
    </xf>
    <xf numFmtId="164" fontId="19" fillId="3" borderId="1" xfId="0" applyFont="true" applyBorder="true" applyAlignment="true" applyProtection="false">
      <alignment horizontal="left" vertical="top" textRotation="0" wrapText="true" indent="0" shrinkToFit="false"/>
      <protection locked="true" hidden="false"/>
    </xf>
    <xf numFmtId="164" fontId="20" fillId="3" borderId="1" xfId="0" applyFont="true" applyBorder="true" applyAlignment="true" applyProtection="false">
      <alignment horizontal="left" vertical="top" textRotation="0" wrapText="tru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22" fillId="3" borderId="1" xfId="0" applyFont="true" applyBorder="true" applyAlignment="true" applyProtection="false">
      <alignment horizontal="center" vertical="center" textRotation="0" wrapText="false" indent="0" shrinkToFit="false"/>
      <protection locked="true" hidden="false"/>
    </xf>
    <xf numFmtId="165" fontId="7" fillId="11" borderId="1" xfId="0" applyFont="true" applyBorder="true" applyAlignment="true" applyProtection="false">
      <alignment horizontal="center" vertical="center" textRotation="0" wrapText="false" indent="0" shrinkToFit="false"/>
      <protection locked="true" hidden="false"/>
    </xf>
    <xf numFmtId="164" fontId="22" fillId="11" borderId="1" xfId="0" applyFont="true" applyBorder="true" applyAlignment="true" applyProtection="false">
      <alignment horizontal="center" vertical="center" textRotation="0" wrapText="false" indent="0" shrinkToFit="false"/>
      <protection locked="true" hidden="false"/>
    </xf>
    <xf numFmtId="164" fontId="23" fillId="12" borderId="0" xfId="0" applyFont="true" applyBorder="true" applyAlignment="true" applyProtection="false">
      <alignment horizontal="left" vertical="top"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13" fillId="12" borderId="0"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5" fontId="17" fillId="0" borderId="0" xfId="0" applyFont="true" applyBorder="false" applyAlignment="true" applyProtection="false">
      <alignment horizontal="center" vertical="center" textRotation="0" wrapText="false" indent="0" shrinkToFit="false"/>
      <protection locked="true" hidden="false"/>
    </xf>
    <xf numFmtId="164" fontId="20" fillId="13" borderId="1"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0" fillId="15"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center" textRotation="0" wrapText="false" indent="0" shrinkToFit="false"/>
      <protection locked="true" hidden="false"/>
    </xf>
    <xf numFmtId="164" fontId="17" fillId="3" borderId="0" xfId="0" applyFont="true" applyBorder="false" applyAlignment="true" applyProtection="false">
      <alignment horizontal="left" vertical="center" textRotation="0" wrapText="false" indent="0" shrinkToFit="false"/>
      <protection locked="true" hidden="false"/>
    </xf>
    <xf numFmtId="164" fontId="25" fillId="0" borderId="0" xfId="0" applyFont="true" applyBorder="true" applyAlignment="true" applyProtection="false">
      <alignment horizontal="left" vertical="center" textRotation="0" wrapText="false" indent="0" shrinkToFit="false"/>
      <protection locked="true" hidden="false"/>
    </xf>
    <xf numFmtId="165" fontId="24" fillId="5" borderId="0" xfId="0" applyFont="true" applyBorder="true" applyAlignment="true" applyProtection="false">
      <alignment horizontal="left" vertical="center" textRotation="0" wrapText="true" indent="0" shrinkToFit="false"/>
      <protection locked="true" hidden="false"/>
    </xf>
    <xf numFmtId="164" fontId="26" fillId="13" borderId="1" xfId="0" applyFont="true" applyBorder="true" applyAlignment="true" applyProtection="false">
      <alignment horizontal="left" vertical="top" textRotation="0" wrapText="true" indent="0" shrinkToFit="false"/>
      <protection locked="true" hidden="false"/>
    </xf>
    <xf numFmtId="164" fontId="27" fillId="13" borderId="1" xfId="0" applyFont="true" applyBorder="true" applyAlignment="true" applyProtection="false">
      <alignment horizontal="left" vertical="top" textRotation="0" wrapText="true" indent="0" shrinkToFit="false"/>
      <protection locked="true" hidden="false"/>
    </xf>
    <xf numFmtId="164" fontId="28" fillId="13" borderId="0" xfId="0" applyFont="true" applyBorder="true" applyAlignment="true" applyProtection="false">
      <alignment horizontal="left" vertical="center" textRotation="0" wrapText="false" indent="0" shrinkToFit="false"/>
      <protection locked="true" hidden="false"/>
    </xf>
    <xf numFmtId="164" fontId="26" fillId="5" borderId="1" xfId="0" applyFont="true" applyBorder="true" applyAlignment="true" applyProtection="false">
      <alignment horizontal="left" vertical="top" textRotation="0" wrapText="true" indent="0" shrinkToFit="false"/>
      <protection locked="true" hidden="false"/>
    </xf>
    <xf numFmtId="164" fontId="29" fillId="5" borderId="1" xfId="0" applyFont="true" applyBorder="true" applyAlignment="true" applyProtection="false">
      <alignment horizontal="left" vertical="top" textRotation="0" wrapText="true" indent="0" shrinkToFit="false"/>
      <protection locked="true" hidden="false"/>
    </xf>
    <xf numFmtId="164" fontId="30" fillId="5" borderId="1" xfId="0" applyFont="true" applyBorder="true" applyAlignment="true" applyProtection="false">
      <alignment horizontal="left" vertical="top" textRotation="0" wrapText="true" indent="0" shrinkToFit="false"/>
      <protection locked="true" hidden="false"/>
    </xf>
    <xf numFmtId="164" fontId="31" fillId="13" borderId="0" xfId="0" applyFont="true" applyBorder="true" applyAlignment="true" applyProtection="false">
      <alignment horizontal="left" vertical="center" textRotation="0" wrapText="true" indent="0" shrinkToFit="false"/>
      <protection locked="true" hidden="false"/>
    </xf>
    <xf numFmtId="164" fontId="6" fillId="11" borderId="0" xfId="0" applyFont="true" applyBorder="true" applyAlignment="true" applyProtection="false">
      <alignment horizontal="left" vertical="center" textRotation="0" wrapText="true" indent="0" shrinkToFit="false"/>
      <protection locked="true" hidden="false"/>
    </xf>
    <xf numFmtId="164" fontId="32" fillId="5" borderId="0" xfId="0" applyFont="true" applyBorder="true" applyAlignment="true" applyProtection="false">
      <alignment horizontal="left"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true" indent="0" shrinkToFit="false"/>
      <protection locked="true" hidden="false"/>
    </xf>
    <xf numFmtId="164" fontId="10" fillId="6" borderId="0" xfId="0" applyFont="true" applyBorder="true" applyAlignment="true" applyProtection="false">
      <alignment horizontal="left" vertical="center" textRotation="0" wrapText="true" indent="0" shrinkToFit="false"/>
      <protection locked="true" hidden="false"/>
    </xf>
    <xf numFmtId="164" fontId="15" fillId="12" borderId="0" xfId="0" applyFont="true" applyBorder="true" applyAlignment="true" applyProtection="false">
      <alignment horizontal="left" vertical="top" textRotation="0" wrapText="true" indent="0" shrinkToFit="false"/>
      <protection locked="true" hidden="false"/>
    </xf>
    <xf numFmtId="164" fontId="10" fillId="6" borderId="0" xfId="0" applyFont="true" applyBorder="true" applyAlignment="true" applyProtection="false">
      <alignment horizontal="left" vertical="top" textRotation="0" wrapText="true" indent="0" shrinkToFit="false"/>
      <protection locked="true" hidden="false"/>
    </xf>
    <xf numFmtId="164" fontId="15" fillId="12" borderId="1" xfId="0" applyFont="true" applyBorder="true" applyAlignment="true" applyProtection="false">
      <alignment horizontal="left" vertical="top" textRotation="0" wrapText="true" indent="0" shrinkToFit="false"/>
      <protection locked="true" hidden="false"/>
    </xf>
    <xf numFmtId="164" fontId="11" fillId="1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6400"/>
      <rgbColor rgb="FF000080"/>
      <rgbColor rgb="FF808000"/>
      <rgbColor rgb="FF800080"/>
      <rgbColor rgb="FF008080"/>
      <rgbColor rgb="FFBFBFBF"/>
      <rgbColor rgb="FF808080"/>
      <rgbColor rgb="FF9999FF"/>
      <rgbColor rgb="FF993366"/>
      <rgbColor rgb="FFFFF9D6"/>
      <rgbColor rgb="FFF2F2F2"/>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5F5F5"/>
      <rgbColor rgb="FFE2EFDA"/>
      <rgbColor rgb="FFFFF2CC"/>
      <rgbColor rgb="FFF4EBC8"/>
      <rgbColor rgb="FFFAE5C3"/>
      <rgbColor rgb="FFCC99FF"/>
      <rgbColor rgb="FFFFD966"/>
      <rgbColor rgb="FF3366FF"/>
      <rgbColor rgb="FF33CCCC"/>
      <rgbColor rgb="FF99CC00"/>
      <rgbColor rgb="FFFFCC00"/>
      <rgbColor rgb="FFC9A84C"/>
      <rgbColor rgb="FFFF6600"/>
      <rgbColor rgb="FF5C5C5C"/>
      <rgbColor rgb="FFC9A961"/>
      <rgbColor rgb="FF0F1F3D"/>
      <rgbColor rgb="FF339966"/>
      <rgbColor rgb="FF0D1B3E"/>
      <rgbColor rgb="FF333300"/>
      <rgbColor rgb="FF8B40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50"/>
    <col collapsed="false" customWidth="true" hidden="false" outlineLevel="0" max="4" min="3" style="1" width="20"/>
  </cols>
  <sheetData>
    <row r="1" customFormat="false" ht="30" hidden="false" customHeight="true" outlineLevel="0" collapsed="false">
      <c r="A1" s="2" t="s">
        <v>0</v>
      </c>
      <c r="B1" s="2"/>
      <c r="C1" s="2"/>
      <c r="D1" s="2"/>
    </row>
    <row r="3" customFormat="false" ht="15" hidden="false" customHeight="true" outlineLevel="0" collapsed="false">
      <c r="A3" s="3" t="s">
        <v>1</v>
      </c>
      <c r="B3" s="3"/>
      <c r="C3" s="3"/>
      <c r="D3" s="3"/>
    </row>
    <row r="4" customFormat="false" ht="39.75" hidden="false" customHeight="true" outlineLevel="0" collapsed="false">
      <c r="A4" s="4" t="s">
        <v>2</v>
      </c>
      <c r="B4" s="5" t="s">
        <v>0</v>
      </c>
      <c r="C4" s="5"/>
      <c r="D4" s="5"/>
    </row>
    <row r="5" customFormat="false" ht="39.75" hidden="false" customHeight="true" outlineLevel="0" collapsed="false">
      <c r="A5" s="4" t="s">
        <v>3</v>
      </c>
      <c r="B5" s="5" t="s">
        <v>4</v>
      </c>
      <c r="C5" s="5"/>
      <c r="D5" s="5"/>
    </row>
    <row r="6" customFormat="false" ht="39.75" hidden="false" customHeight="true" outlineLevel="0" collapsed="false">
      <c r="A6" s="4" t="s">
        <v>5</v>
      </c>
      <c r="B6" s="5" t="s">
        <v>6</v>
      </c>
      <c r="C6" s="5"/>
      <c r="D6" s="5"/>
    </row>
    <row r="7" customFormat="false" ht="39.75" hidden="false" customHeight="true" outlineLevel="0" collapsed="false">
      <c r="A7" s="4" t="s">
        <v>7</v>
      </c>
      <c r="B7" s="5" t="s">
        <v>8</v>
      </c>
      <c r="C7" s="5"/>
      <c r="D7" s="5"/>
    </row>
    <row r="8" customFormat="false" ht="39.75" hidden="false" customHeight="true" outlineLevel="0" collapsed="false">
      <c r="A8" s="4" t="s">
        <v>9</v>
      </c>
      <c r="B8" s="5" t="s">
        <v>10</v>
      </c>
      <c r="C8" s="5"/>
      <c r="D8" s="5"/>
    </row>
    <row r="9" customFormat="false" ht="39.75" hidden="false" customHeight="true" outlineLevel="0" collapsed="false">
      <c r="A9" s="4" t="s">
        <v>11</v>
      </c>
      <c r="B9" s="5" t="s">
        <v>12</v>
      </c>
      <c r="C9" s="5"/>
      <c r="D9" s="5"/>
    </row>
    <row r="10" customFormat="false" ht="39.75" hidden="false" customHeight="true" outlineLevel="0" collapsed="false">
      <c r="A10" s="4" t="s">
        <v>13</v>
      </c>
      <c r="B10" s="5" t="s">
        <v>14</v>
      </c>
      <c r="C10" s="5"/>
      <c r="D10" s="5"/>
    </row>
    <row r="12" customFormat="false" ht="15" hidden="false" customHeight="true" outlineLevel="0" collapsed="false">
      <c r="A12" s="3" t="s">
        <v>15</v>
      </c>
      <c r="B12" s="3"/>
      <c r="C12" s="3"/>
      <c r="D12" s="3"/>
    </row>
    <row r="13" customFormat="false" ht="27.75" hidden="false" customHeight="true" outlineLevel="0" collapsed="false">
      <c r="A13" s="5" t="s">
        <v>16</v>
      </c>
      <c r="B13" s="5"/>
      <c r="C13" s="5"/>
      <c r="D13" s="5"/>
    </row>
    <row r="14" customFormat="false" ht="27.75" hidden="false" customHeight="true" outlineLevel="0" collapsed="false">
      <c r="A14" s="5" t="s">
        <v>17</v>
      </c>
      <c r="B14" s="5"/>
      <c r="C14" s="5"/>
      <c r="D14" s="5"/>
    </row>
    <row r="15" customFormat="false" ht="27.75" hidden="false" customHeight="true" outlineLevel="0" collapsed="false">
      <c r="A15" s="5" t="s">
        <v>18</v>
      </c>
      <c r="B15" s="5"/>
      <c r="C15" s="5"/>
      <c r="D15" s="5"/>
    </row>
    <row r="16" customFormat="false" ht="27.75" hidden="false" customHeight="true" outlineLevel="0" collapsed="false">
      <c r="A16" s="5" t="s">
        <v>19</v>
      </c>
      <c r="B16" s="5"/>
      <c r="C16" s="5"/>
      <c r="D16" s="5"/>
    </row>
    <row r="17" customFormat="false" ht="27.75" hidden="false" customHeight="true" outlineLevel="0" collapsed="false">
      <c r="A17" s="5" t="s">
        <v>20</v>
      </c>
      <c r="B17" s="5"/>
      <c r="C17" s="5"/>
      <c r="D17" s="5"/>
    </row>
    <row r="18" customFormat="false" ht="27.75" hidden="false" customHeight="true" outlineLevel="0" collapsed="false">
      <c r="A18" s="5" t="s">
        <v>21</v>
      </c>
      <c r="B18" s="5"/>
      <c r="C18" s="5"/>
      <c r="D18" s="5"/>
    </row>
    <row r="19" customFormat="false" ht="27.75" hidden="false" customHeight="true" outlineLevel="0" collapsed="false">
      <c r="A19" s="5" t="s">
        <v>22</v>
      </c>
      <c r="B19" s="5"/>
      <c r="C19" s="5"/>
      <c r="D19" s="5"/>
    </row>
    <row r="21" customFormat="false" ht="15" hidden="false" customHeight="true" outlineLevel="0" collapsed="false">
      <c r="A21" s="6" t="s">
        <v>23</v>
      </c>
      <c r="B21" s="6"/>
      <c r="C21" s="6"/>
      <c r="D21" s="6"/>
    </row>
    <row r="22" customFormat="false" ht="72" hidden="false" customHeight="true" outlineLevel="0" collapsed="false">
      <c r="A22" s="7" t="s">
        <v>24</v>
      </c>
      <c r="B22" s="7"/>
      <c r="C22" s="7"/>
      <c r="D22" s="7"/>
    </row>
    <row r="24" customFormat="false" ht="21.75" hidden="false" customHeight="true" outlineLevel="0" collapsed="false">
      <c r="A24" s="8" t="s">
        <v>25</v>
      </c>
    </row>
    <row r="25" customFormat="false" ht="45.75" hidden="false" customHeight="true" outlineLevel="0" collapsed="false">
      <c r="A25" s="9" t="s">
        <v>26</v>
      </c>
    </row>
    <row r="26" customFormat="false" ht="57" hidden="false" customHeight="true" outlineLevel="0" collapsed="false">
      <c r="A26" s="10" t="s">
        <v>27</v>
      </c>
    </row>
    <row r="27" customFormat="false" ht="45.75" hidden="false" customHeight="true" outlineLevel="0" collapsed="false">
      <c r="A27" s="9" t="s">
        <v>28</v>
      </c>
    </row>
    <row r="28" customFormat="false" ht="57" hidden="false" customHeight="true" outlineLevel="0" collapsed="false">
      <c r="A28" s="10" t="s">
        <v>29</v>
      </c>
    </row>
    <row r="29" customFormat="false" ht="68.25" hidden="false" customHeight="true" outlineLevel="0" collapsed="false">
      <c r="A29" s="9" t="s">
        <v>30</v>
      </c>
    </row>
    <row r="30" customFormat="false" ht="57" hidden="false" customHeight="true" outlineLevel="0" collapsed="false">
      <c r="A30" s="10" t="s">
        <v>31</v>
      </c>
    </row>
    <row r="31" customFormat="false" ht="45.75" hidden="false" customHeight="true" outlineLevel="0" collapsed="false">
      <c r="A31" s="9" t="s">
        <v>32</v>
      </c>
    </row>
    <row r="32" customFormat="false" ht="45.75" hidden="false" customHeight="true" outlineLevel="0" collapsed="false">
      <c r="A32" s="10" t="s">
        <v>33</v>
      </c>
    </row>
  </sheetData>
  <mergeCells count="19">
    <mergeCell ref="A1:D1"/>
    <mergeCell ref="A3:D3"/>
    <mergeCell ref="B4:D4"/>
    <mergeCell ref="B5:D5"/>
    <mergeCell ref="B6:D6"/>
    <mergeCell ref="B7:D7"/>
    <mergeCell ref="B8:D8"/>
    <mergeCell ref="B9:D9"/>
    <mergeCell ref="B10:D10"/>
    <mergeCell ref="A12:D12"/>
    <mergeCell ref="A13:D13"/>
    <mergeCell ref="A14:D14"/>
    <mergeCell ref="A15:D15"/>
    <mergeCell ref="A16:D16"/>
    <mergeCell ref="A17:D17"/>
    <mergeCell ref="A18:D18"/>
    <mergeCell ref="A19:D19"/>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6"/>
    <col collapsed="false" customWidth="true" hidden="false" outlineLevel="0" max="3" min="3" style="1" width="50"/>
    <col collapsed="false" customWidth="true" hidden="false" outlineLevel="0" max="4" min="4" style="1" width="60"/>
  </cols>
  <sheetData>
    <row r="1" customFormat="false" ht="30" hidden="false" customHeight="true" outlineLevel="0" collapsed="false">
      <c r="A1" s="11" t="s">
        <v>34</v>
      </c>
      <c r="B1" s="11"/>
      <c r="C1" s="11"/>
      <c r="D1" s="11"/>
    </row>
    <row r="2" customFormat="false" ht="69.75" hidden="false" customHeight="true" outlineLevel="0" collapsed="false">
      <c r="A2" s="12" t="s">
        <v>35</v>
      </c>
      <c r="B2" s="12"/>
      <c r="C2" s="12"/>
      <c r="D2" s="12"/>
    </row>
    <row r="4" customFormat="false" ht="31.5" hidden="false" customHeight="true" outlineLevel="0" collapsed="false">
      <c r="A4" s="13" t="s">
        <v>36</v>
      </c>
      <c r="B4" s="13" t="s">
        <v>37</v>
      </c>
      <c r="C4" s="13" t="s">
        <v>38</v>
      </c>
      <c r="D4" s="13" t="s">
        <v>39</v>
      </c>
    </row>
    <row r="5" customFormat="false" ht="15" hidden="false" customHeight="true" outlineLevel="0" collapsed="false">
      <c r="A5" s="14" t="s">
        <v>40</v>
      </c>
      <c r="B5" s="15" t="s">
        <v>41</v>
      </c>
      <c r="C5" s="16" t="s">
        <v>42</v>
      </c>
      <c r="D5" s="16" t="s">
        <v>43</v>
      </c>
    </row>
    <row r="6" customFormat="false" ht="23.25" hidden="false" customHeight="true" outlineLevel="0" collapsed="false">
      <c r="A6" s="17" t="s">
        <v>44</v>
      </c>
      <c r="B6" s="15"/>
      <c r="C6" s="18" t="s">
        <v>45</v>
      </c>
      <c r="D6" s="18" t="s">
        <v>46</v>
      </c>
    </row>
    <row r="7" customFormat="false" ht="15" hidden="false" customHeight="true" outlineLevel="0" collapsed="false">
      <c r="A7" s="14" t="s">
        <v>47</v>
      </c>
      <c r="B7" s="15"/>
      <c r="C7" s="16" t="s">
        <v>48</v>
      </c>
      <c r="D7" s="16"/>
    </row>
    <row r="8" customFormat="false" ht="15" hidden="false" customHeight="true" outlineLevel="0" collapsed="false">
      <c r="A8" s="17" t="s">
        <v>49</v>
      </c>
      <c r="B8" s="15"/>
      <c r="C8" s="18" t="s">
        <v>50</v>
      </c>
      <c r="D8" s="18" t="s">
        <v>51</v>
      </c>
    </row>
    <row r="9" customFormat="false" ht="15" hidden="false" customHeight="true" outlineLevel="0" collapsed="false">
      <c r="A9" s="14" t="s">
        <v>52</v>
      </c>
      <c r="B9" s="15"/>
      <c r="C9" s="16" t="s">
        <v>53</v>
      </c>
      <c r="D9" s="16" t="s">
        <v>54</v>
      </c>
    </row>
    <row r="10" customFormat="false" ht="23.25" hidden="false" customHeight="true" outlineLevel="0" collapsed="false">
      <c r="A10" s="17" t="s">
        <v>55</v>
      </c>
      <c r="B10" s="15"/>
      <c r="C10" s="18" t="s">
        <v>56</v>
      </c>
      <c r="D10" s="18" t="s">
        <v>57</v>
      </c>
    </row>
    <row r="11" customFormat="false" ht="15" hidden="false" customHeight="true" outlineLevel="0" collapsed="false">
      <c r="A11" s="14" t="s">
        <v>58</v>
      </c>
      <c r="B11" s="15"/>
      <c r="C11" s="16" t="s">
        <v>56</v>
      </c>
      <c r="D11" s="16" t="s">
        <v>59</v>
      </c>
    </row>
    <row r="12" customFormat="false" ht="15" hidden="false" customHeight="true" outlineLevel="0" collapsed="false">
      <c r="A12" s="17" t="s">
        <v>60</v>
      </c>
      <c r="B12" s="15"/>
      <c r="C12" s="18" t="s">
        <v>61</v>
      </c>
      <c r="D12" s="18" t="s">
        <v>62</v>
      </c>
    </row>
    <row r="13" customFormat="false" ht="15" hidden="false" customHeight="true" outlineLevel="0" collapsed="false">
      <c r="A13" s="14" t="s">
        <v>63</v>
      </c>
      <c r="B13" s="15"/>
      <c r="C13" s="16" t="s">
        <v>64</v>
      </c>
      <c r="D13" s="16" t="s">
        <v>65</v>
      </c>
    </row>
    <row r="14" customFormat="false" ht="15" hidden="false" customHeight="true" outlineLevel="0" collapsed="false">
      <c r="A14" s="17" t="s">
        <v>66</v>
      </c>
      <c r="B14" s="15"/>
      <c r="C14" s="18" t="s">
        <v>67</v>
      </c>
      <c r="D14" s="18" t="s">
        <v>68</v>
      </c>
    </row>
  </sheetData>
  <mergeCells count="2">
    <mergeCell ref="A1:D1"/>
    <mergeCell ref="A2:D2"/>
  </mergeCells>
  <dataValidations count="4">
    <dataValidation allowBlank="true" errorStyle="stop" operator="between" showDropDown="false" showErrorMessage="false" showInputMessage="false" sqref="B6" type="list">
      <formula1>"deal_lead,integration_lead,people_lead,commercial_lead,finance_lead,legal_lead,board_observer,lead_banker,legal_counsel,consultant,unspecified"</formula1>
      <formula2>0</formula2>
    </dataValidation>
    <dataValidation allowBlank="true" errorStyle="stop" operator="between" showDropDown="false" showErrorMessage="false" showInputMessage="false" sqref="B8" type="list">
      <formula1>"c_suite,vp,director,manager,ic,external"</formula1>
      <formula2>0</formula2>
    </dataValidation>
    <dataValidation allowBlank="true" errorStyle="stop" operator="between" showDropDown="false" showErrorMessage="false" showInputMessage="false" sqref="B9" type="list">
      <formula1>"lead,functional,observer,advisor"</formula1>
      <formula2>0</formula2>
    </dataValidation>
    <dataValidation allowBlank="true" errorStyle="stop" operator="between" showDropDown="false" showErrorMessage="false" showInputMessage="false" sqref="B12" type="list">
      <formula1>"deal_team_member,interview_only,written_only"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8"/>
    <col collapsed="false" customWidth="true" hidden="false" outlineLevel="0" max="4" min="4" style="1" width="48"/>
    <col collapsed="false" customWidth="true" hidden="false" outlineLevel="0" max="5" min="5" style="1" width="42"/>
    <col collapsed="false" customWidth="true" hidden="false" outlineLevel="0" max="6" min="6" style="1" width="48"/>
  </cols>
  <sheetData>
    <row r="1" customFormat="false" ht="27.75" hidden="false" customHeight="true" outlineLevel="0" collapsed="false">
      <c r="A1" s="19" t="s">
        <v>69</v>
      </c>
      <c r="B1" s="19"/>
      <c r="C1" s="19"/>
      <c r="D1" s="19"/>
      <c r="E1" s="19"/>
      <c r="F1" s="19"/>
    </row>
    <row r="2" customFormat="false" ht="27.75" hidden="false" customHeight="true" outlineLevel="0" collapsed="false">
      <c r="A2" s="20" t="s">
        <v>70</v>
      </c>
      <c r="B2" s="20" t="s">
        <v>71</v>
      </c>
      <c r="C2" s="20" t="s">
        <v>72</v>
      </c>
      <c r="D2" s="20" t="s">
        <v>73</v>
      </c>
      <c r="E2" s="20" t="s">
        <v>74</v>
      </c>
      <c r="F2" s="20" t="s">
        <v>75</v>
      </c>
    </row>
    <row r="3" customFormat="false" ht="60" hidden="false" customHeight="true" outlineLevel="0" collapsed="false">
      <c r="A3" s="21" t="s">
        <v>76</v>
      </c>
      <c r="B3" s="21" t="s">
        <v>77</v>
      </c>
      <c r="C3" s="22" t="s">
        <v>78</v>
      </c>
      <c r="D3" s="22" t="s">
        <v>79</v>
      </c>
      <c r="E3" s="22" t="s">
        <v>80</v>
      </c>
      <c r="F3" s="22" t="s">
        <v>81</v>
      </c>
    </row>
    <row r="4" customFormat="false" ht="60" hidden="false" customHeight="true" outlineLevel="0" collapsed="false">
      <c r="A4" s="23" t="s">
        <v>82</v>
      </c>
      <c r="B4" s="23" t="s">
        <v>83</v>
      </c>
      <c r="C4" s="24" t="s">
        <v>84</v>
      </c>
      <c r="D4" s="24" t="s">
        <v>85</v>
      </c>
      <c r="E4" s="24" t="s">
        <v>86</v>
      </c>
      <c r="F4" s="24" t="s">
        <v>87</v>
      </c>
    </row>
    <row r="5" customFormat="false" ht="60" hidden="false" customHeight="true" outlineLevel="0" collapsed="false">
      <c r="A5" s="21" t="s">
        <v>88</v>
      </c>
      <c r="B5" s="21" t="s">
        <v>89</v>
      </c>
      <c r="C5" s="22" t="s">
        <v>90</v>
      </c>
      <c r="D5" s="22" t="s">
        <v>91</v>
      </c>
      <c r="E5" s="22" t="s">
        <v>92</v>
      </c>
      <c r="F5" s="22" t="s">
        <v>93</v>
      </c>
    </row>
    <row r="6" customFormat="false" ht="60" hidden="false" customHeight="true" outlineLevel="0" collapsed="false">
      <c r="A6" s="23" t="s">
        <v>94</v>
      </c>
      <c r="B6" s="23" t="s">
        <v>95</v>
      </c>
      <c r="C6" s="24" t="s">
        <v>96</v>
      </c>
      <c r="D6" s="24" t="s">
        <v>97</v>
      </c>
      <c r="E6" s="24" t="s">
        <v>98</v>
      </c>
      <c r="F6" s="24" t="s">
        <v>99</v>
      </c>
    </row>
    <row r="7" customFormat="false" ht="60" hidden="false" customHeight="true" outlineLevel="0" collapsed="false">
      <c r="A7" s="21" t="s">
        <v>100</v>
      </c>
      <c r="B7" s="21" t="s">
        <v>101</v>
      </c>
      <c r="C7" s="22" t="s">
        <v>102</v>
      </c>
      <c r="D7" s="22" t="s">
        <v>103</v>
      </c>
      <c r="E7" s="22" t="s">
        <v>104</v>
      </c>
      <c r="F7" s="22" t="s">
        <v>105</v>
      </c>
    </row>
    <row r="8" customFormat="false" ht="60" hidden="false" customHeight="true" outlineLevel="0" collapsed="false">
      <c r="A8" s="23" t="s">
        <v>106</v>
      </c>
      <c r="B8" s="23" t="s">
        <v>107</v>
      </c>
      <c r="C8" s="24" t="s">
        <v>108</v>
      </c>
      <c r="D8" s="24" t="s">
        <v>109</v>
      </c>
      <c r="E8" s="24" t="s">
        <v>110</v>
      </c>
      <c r="F8" s="24" t="s">
        <v>111</v>
      </c>
    </row>
    <row r="9" customFormat="false" ht="60" hidden="false" customHeight="true" outlineLevel="0" collapsed="false">
      <c r="A9" s="21" t="s">
        <v>112</v>
      </c>
      <c r="B9" s="21" t="s">
        <v>113</v>
      </c>
      <c r="C9" s="22" t="s">
        <v>114</v>
      </c>
      <c r="D9" s="22" t="s">
        <v>115</v>
      </c>
      <c r="E9" s="22" t="s">
        <v>116</v>
      </c>
      <c r="F9" s="22" t="s">
        <v>117</v>
      </c>
    </row>
    <row r="10" customFormat="false" ht="60" hidden="false" customHeight="true" outlineLevel="0" collapsed="false">
      <c r="A10" s="23" t="s">
        <v>118</v>
      </c>
      <c r="B10" s="23" t="s">
        <v>119</v>
      </c>
      <c r="C10" s="24" t="s">
        <v>120</v>
      </c>
      <c r="D10" s="24" t="s">
        <v>121</v>
      </c>
      <c r="E10" s="24" t="s">
        <v>122</v>
      </c>
      <c r="F10" s="24" t="s">
        <v>123</v>
      </c>
    </row>
    <row r="11" customFormat="false" ht="60" hidden="false" customHeight="true" outlineLevel="0" collapsed="false">
      <c r="A11" s="21" t="s">
        <v>124</v>
      </c>
      <c r="B11" s="21" t="s">
        <v>125</v>
      </c>
      <c r="C11" s="22" t="s">
        <v>126</v>
      </c>
      <c r="D11" s="22" t="s">
        <v>127</v>
      </c>
      <c r="E11" s="22" t="s">
        <v>128</v>
      </c>
      <c r="F11" s="22" t="s">
        <v>129</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50"/>
    <col collapsed="false" customWidth="true" hidden="false" outlineLevel="0" max="7" min="4" style="1" width="32"/>
    <col collapsed="false" customWidth="true" hidden="false" outlineLevel="0" max="11" min="8" style="1" width="12"/>
    <col collapsed="false" customWidth="true" hidden="false" outlineLevel="0" max="14" min="12" style="1" width="22"/>
    <col collapsed="false" customWidth="true" hidden="false" outlineLevel="0" max="15" min="15" style="1" width="28"/>
    <col collapsed="false" customWidth="true" hidden="false" outlineLevel="0" max="16" min="16" style="1" width="14"/>
    <col collapsed="false" customWidth="true" hidden="false" outlineLevel="0" max="17" min="17" style="1" width="50"/>
    <col collapsed="false" customWidth="true" hidden="false" outlineLevel="0" max="18" min="18" style="1" width="16"/>
    <col collapsed="false" customWidth="true" hidden="false" outlineLevel="0" max="19" min="19" style="1" width="18"/>
    <col collapsed="false" customWidth="true" hidden="false" outlineLevel="0" max="20" min="20" style="1" width="26"/>
    <col collapsed="false" customWidth="true" hidden="false" outlineLevel="0" max="21" min="21" style="1" width="22"/>
    <col collapsed="false" customWidth="true" hidden="false" outlineLevel="0" max="22" min="22" style="1" width="14"/>
    <col collapsed="false" customWidth="true" hidden="false" outlineLevel="0" max="23" min="23" style="1" width="28"/>
    <col collapsed="false" customWidth="true" hidden="false" outlineLevel="0" max="25" min="24" style="1" width="22"/>
    <col collapsed="false" customWidth="true" hidden="false" outlineLevel="0" max="26" min="26" style="1" width="30"/>
  </cols>
  <sheetData>
    <row r="1" customFormat="false" ht="27.75" hidden="false" customHeight="true" outlineLevel="0" collapsed="false">
      <c r="A1" s="19" t="s">
        <v>130</v>
      </c>
      <c r="B1" s="19"/>
      <c r="C1" s="19"/>
      <c r="D1" s="19"/>
      <c r="E1" s="19"/>
      <c r="F1" s="19"/>
      <c r="G1" s="19"/>
      <c r="H1" s="19"/>
      <c r="I1" s="19"/>
      <c r="J1" s="19"/>
      <c r="K1" s="19"/>
      <c r="L1" s="19"/>
      <c r="M1" s="19"/>
      <c r="N1" s="19"/>
      <c r="O1" s="19"/>
      <c r="P1" s="19"/>
    </row>
    <row r="2" customFormat="false" ht="39.75" hidden="false" customHeight="true" outlineLevel="0" collapsed="false">
      <c r="A2" s="25" t="s">
        <v>131</v>
      </c>
      <c r="B2" s="25" t="s">
        <v>132</v>
      </c>
      <c r="C2" s="25" t="s">
        <v>133</v>
      </c>
      <c r="D2" s="25" t="s">
        <v>134</v>
      </c>
      <c r="E2" s="25" t="s">
        <v>135</v>
      </c>
      <c r="F2" s="25" t="s">
        <v>136</v>
      </c>
      <c r="G2" s="25" t="s">
        <v>137</v>
      </c>
      <c r="H2" s="25" t="s">
        <v>138</v>
      </c>
      <c r="I2" s="25" t="s">
        <v>139</v>
      </c>
      <c r="J2" s="25" t="s">
        <v>140</v>
      </c>
      <c r="K2" s="25" t="s">
        <v>141</v>
      </c>
      <c r="L2" s="25" t="s">
        <v>142</v>
      </c>
      <c r="M2" s="25" t="s">
        <v>143</v>
      </c>
      <c r="N2" s="25" t="s">
        <v>144</v>
      </c>
      <c r="O2" s="25" t="s">
        <v>145</v>
      </c>
      <c r="P2" s="25" t="s">
        <v>146</v>
      </c>
      <c r="Q2" s="13" t="s">
        <v>147</v>
      </c>
      <c r="R2" s="13" t="s">
        <v>148</v>
      </c>
      <c r="S2" s="13" t="s">
        <v>149</v>
      </c>
      <c r="T2" s="13" t="s">
        <v>150</v>
      </c>
      <c r="U2" s="13" t="s">
        <v>151</v>
      </c>
      <c r="V2" s="13" t="s">
        <v>152</v>
      </c>
      <c r="W2" s="13" t="s">
        <v>153</v>
      </c>
      <c r="X2" s="13" t="s">
        <v>154</v>
      </c>
      <c r="Y2" s="13" t="s">
        <v>155</v>
      </c>
      <c r="Z2" s="13" t="s">
        <v>156</v>
      </c>
    </row>
    <row r="3" customFormat="false" ht="72" hidden="false" customHeight="true" outlineLevel="0" collapsed="false">
      <c r="A3" s="26" t="s">
        <v>157</v>
      </c>
      <c r="B3" s="27" t="s">
        <v>158</v>
      </c>
      <c r="C3" s="27" t="s">
        <v>159</v>
      </c>
      <c r="D3" s="27" t="s">
        <v>160</v>
      </c>
      <c r="E3" s="27" t="s">
        <v>161</v>
      </c>
      <c r="F3" s="27" t="s">
        <v>162</v>
      </c>
      <c r="G3" s="27" t="s">
        <v>163</v>
      </c>
      <c r="H3" s="27" t="s">
        <v>164</v>
      </c>
      <c r="I3" s="27" t="s">
        <v>164</v>
      </c>
      <c r="J3" s="27" t="s">
        <v>164</v>
      </c>
      <c r="K3" s="27" t="s">
        <v>164</v>
      </c>
      <c r="L3" s="27" t="s">
        <v>165</v>
      </c>
      <c r="M3" s="27" t="s">
        <v>166</v>
      </c>
      <c r="N3" s="27" t="s">
        <v>167</v>
      </c>
      <c r="O3" s="27" t="s">
        <v>168</v>
      </c>
      <c r="P3" s="27"/>
    </row>
    <row r="4" customFormat="false" ht="72" hidden="false" customHeight="true" outlineLevel="0" collapsed="false">
      <c r="A4" s="26" t="s">
        <v>169</v>
      </c>
      <c r="B4" s="27" t="s">
        <v>158</v>
      </c>
      <c r="C4" s="27" t="s">
        <v>170</v>
      </c>
      <c r="D4" s="27" t="s">
        <v>171</v>
      </c>
      <c r="E4" s="27" t="s">
        <v>172</v>
      </c>
      <c r="F4" s="27" t="s">
        <v>173</v>
      </c>
      <c r="G4" s="27" t="s">
        <v>174</v>
      </c>
      <c r="H4" s="27" t="s">
        <v>164</v>
      </c>
      <c r="I4" s="27" t="s">
        <v>164</v>
      </c>
      <c r="J4" s="27" t="s">
        <v>164</v>
      </c>
      <c r="K4" s="27" t="s">
        <v>164</v>
      </c>
      <c r="L4" s="27" t="s">
        <v>175</v>
      </c>
      <c r="M4" s="27" t="s">
        <v>176</v>
      </c>
      <c r="N4" s="27" t="s">
        <v>177</v>
      </c>
      <c r="O4" s="27" t="s">
        <v>178</v>
      </c>
      <c r="P4" s="27"/>
    </row>
    <row r="5" customFormat="false" ht="72" hidden="false" customHeight="true" outlineLevel="0" collapsed="false">
      <c r="A5" s="26" t="s">
        <v>179</v>
      </c>
      <c r="B5" s="27" t="s">
        <v>158</v>
      </c>
      <c r="C5" s="27" t="s">
        <v>180</v>
      </c>
      <c r="D5" s="27" t="s">
        <v>181</v>
      </c>
      <c r="E5" s="27" t="s">
        <v>182</v>
      </c>
      <c r="F5" s="27" t="s">
        <v>183</v>
      </c>
      <c r="G5" s="27" t="s">
        <v>184</v>
      </c>
      <c r="H5" s="27" t="s">
        <v>164</v>
      </c>
      <c r="I5" s="27" t="s">
        <v>164</v>
      </c>
      <c r="J5" s="27" t="s">
        <v>164</v>
      </c>
      <c r="K5" s="27" t="s">
        <v>164</v>
      </c>
      <c r="L5" s="27" t="s">
        <v>185</v>
      </c>
      <c r="M5" s="27" t="s">
        <v>186</v>
      </c>
      <c r="N5" s="27" t="s">
        <v>187</v>
      </c>
      <c r="O5" s="27" t="s">
        <v>188</v>
      </c>
      <c r="P5" s="27"/>
    </row>
    <row r="6" customFormat="false" ht="72" hidden="false" customHeight="true" outlineLevel="0" collapsed="false">
      <c r="A6" s="26" t="s">
        <v>189</v>
      </c>
      <c r="B6" s="27" t="s">
        <v>158</v>
      </c>
      <c r="C6" s="27" t="s">
        <v>190</v>
      </c>
      <c r="D6" s="27" t="s">
        <v>191</v>
      </c>
      <c r="E6" s="27" t="s">
        <v>192</v>
      </c>
      <c r="F6" s="27" t="s">
        <v>193</v>
      </c>
      <c r="G6" s="27" t="s">
        <v>194</v>
      </c>
      <c r="H6" s="27" t="s">
        <v>164</v>
      </c>
      <c r="I6" s="27" t="s">
        <v>164</v>
      </c>
      <c r="J6" s="27" t="s">
        <v>164</v>
      </c>
      <c r="K6" s="27" t="s">
        <v>164</v>
      </c>
      <c r="L6" s="27" t="s">
        <v>195</v>
      </c>
      <c r="M6" s="27" t="s">
        <v>196</v>
      </c>
      <c r="N6" s="27" t="s">
        <v>197</v>
      </c>
      <c r="O6" s="27" t="s">
        <v>198</v>
      </c>
      <c r="P6" s="27"/>
    </row>
    <row r="7" customFormat="false" ht="72" hidden="false" customHeight="true" outlineLevel="0" collapsed="false">
      <c r="A7" s="28" t="s">
        <v>199</v>
      </c>
      <c r="B7" s="29" t="s">
        <v>200</v>
      </c>
      <c r="C7" s="29" t="s">
        <v>201</v>
      </c>
      <c r="D7" s="29" t="s">
        <v>202</v>
      </c>
      <c r="E7" s="29" t="s">
        <v>203</v>
      </c>
      <c r="F7" s="29" t="s">
        <v>204</v>
      </c>
      <c r="G7" s="29" t="s">
        <v>205</v>
      </c>
      <c r="H7" s="29" t="s">
        <v>76</v>
      </c>
      <c r="I7" s="29" t="s">
        <v>94</v>
      </c>
      <c r="J7" s="29" t="s">
        <v>82</v>
      </c>
      <c r="K7" s="29" t="s">
        <v>124</v>
      </c>
      <c r="L7" s="29" t="s">
        <v>200</v>
      </c>
      <c r="M7" s="29" t="s">
        <v>206</v>
      </c>
      <c r="N7" s="29" t="s">
        <v>207</v>
      </c>
      <c r="O7" s="29" t="s">
        <v>208</v>
      </c>
      <c r="Q7" s="18" t="s">
        <v>209</v>
      </c>
      <c r="R7" s="30" t="s">
        <v>210</v>
      </c>
      <c r="S7" s="31"/>
      <c r="T7" s="31"/>
      <c r="U7" s="31"/>
      <c r="V7" s="31"/>
      <c r="W7" s="31"/>
      <c r="X7" s="31"/>
      <c r="Y7" s="31"/>
      <c r="Z7" s="31"/>
    </row>
    <row r="8" customFormat="false" ht="72" hidden="false" customHeight="true" outlineLevel="0" collapsed="false">
      <c r="A8" s="32" t="s">
        <v>211</v>
      </c>
      <c r="B8" s="33" t="s">
        <v>212</v>
      </c>
      <c r="C8" s="33" t="s">
        <v>213</v>
      </c>
      <c r="D8" s="33" t="s">
        <v>214</v>
      </c>
      <c r="E8" s="33" t="s">
        <v>215</v>
      </c>
      <c r="F8" s="33" t="s">
        <v>216</v>
      </c>
      <c r="G8" s="33" t="s">
        <v>217</v>
      </c>
      <c r="H8" s="33" t="s">
        <v>94</v>
      </c>
      <c r="I8" s="33" t="s">
        <v>106</v>
      </c>
      <c r="J8" s="33" t="s">
        <v>82</v>
      </c>
      <c r="K8" s="33" t="s">
        <v>112</v>
      </c>
      <c r="L8" s="33" t="s">
        <v>218</v>
      </c>
      <c r="M8" s="33" t="s">
        <v>219</v>
      </c>
      <c r="N8" s="33" t="s">
        <v>220</v>
      </c>
      <c r="O8" s="33" t="s">
        <v>221</v>
      </c>
      <c r="Q8" s="18" t="s">
        <v>209</v>
      </c>
      <c r="R8" s="30" t="s">
        <v>210</v>
      </c>
      <c r="S8" s="31"/>
      <c r="T8" s="31"/>
      <c r="U8" s="31"/>
      <c r="V8" s="31"/>
      <c r="W8" s="31"/>
      <c r="X8" s="31"/>
      <c r="Y8" s="31"/>
      <c r="Z8" s="31"/>
    </row>
    <row r="9" customFormat="false" ht="72" hidden="false" customHeight="true" outlineLevel="0" collapsed="false">
      <c r="A9" s="28" t="s">
        <v>222</v>
      </c>
      <c r="B9" s="29" t="s">
        <v>223</v>
      </c>
      <c r="C9" s="29" t="s">
        <v>224</v>
      </c>
      <c r="D9" s="29" t="s">
        <v>225</v>
      </c>
      <c r="E9" s="29" t="s">
        <v>226</v>
      </c>
      <c r="F9" s="29" t="s">
        <v>227</v>
      </c>
      <c r="G9" s="29" t="s">
        <v>228</v>
      </c>
      <c r="H9" s="29" t="s">
        <v>100</v>
      </c>
      <c r="I9" s="29" t="s">
        <v>112</v>
      </c>
      <c r="J9" s="29" t="s">
        <v>94</v>
      </c>
      <c r="K9" s="29" t="s">
        <v>88</v>
      </c>
      <c r="L9" s="29" t="s">
        <v>223</v>
      </c>
      <c r="M9" s="29" t="s">
        <v>229</v>
      </c>
      <c r="N9" s="29" t="s">
        <v>230</v>
      </c>
      <c r="O9" s="29" t="s">
        <v>231</v>
      </c>
      <c r="Q9" s="18" t="s">
        <v>209</v>
      </c>
      <c r="R9" s="30" t="s">
        <v>210</v>
      </c>
      <c r="S9" s="31"/>
      <c r="T9" s="31"/>
      <c r="U9" s="31"/>
      <c r="V9" s="31"/>
      <c r="W9" s="31"/>
      <c r="X9" s="31"/>
      <c r="Y9" s="31"/>
      <c r="Z9" s="31"/>
    </row>
    <row r="10" customFormat="false" ht="72" hidden="false" customHeight="true" outlineLevel="0" collapsed="false">
      <c r="A10" s="32" t="s">
        <v>232</v>
      </c>
      <c r="B10" s="33" t="s">
        <v>233</v>
      </c>
      <c r="C10" s="33" t="s">
        <v>234</v>
      </c>
      <c r="D10" s="33" t="s">
        <v>235</v>
      </c>
      <c r="E10" s="33" t="s">
        <v>236</v>
      </c>
      <c r="F10" s="33" t="s">
        <v>237</v>
      </c>
      <c r="G10" s="33" t="s">
        <v>238</v>
      </c>
      <c r="H10" s="33" t="s">
        <v>94</v>
      </c>
      <c r="I10" s="33" t="s">
        <v>76</v>
      </c>
      <c r="J10" s="33" t="s">
        <v>82</v>
      </c>
      <c r="K10" s="33" t="s">
        <v>118</v>
      </c>
      <c r="L10" s="33" t="s">
        <v>233</v>
      </c>
      <c r="M10" s="33" t="s">
        <v>239</v>
      </c>
      <c r="N10" s="33" t="s">
        <v>240</v>
      </c>
      <c r="O10" s="33" t="s">
        <v>241</v>
      </c>
      <c r="Q10" s="18" t="s">
        <v>209</v>
      </c>
      <c r="R10" s="30" t="s">
        <v>210</v>
      </c>
      <c r="S10" s="31"/>
      <c r="T10" s="31"/>
      <c r="U10" s="31"/>
      <c r="V10" s="31"/>
      <c r="W10" s="31"/>
      <c r="X10" s="31"/>
      <c r="Y10" s="31"/>
      <c r="Z10" s="31"/>
    </row>
    <row r="11" customFormat="false" ht="72" hidden="false" customHeight="true" outlineLevel="0" collapsed="false">
      <c r="A11" s="28" t="s">
        <v>242</v>
      </c>
      <c r="B11" s="29" t="s">
        <v>243</v>
      </c>
      <c r="C11" s="29" t="s">
        <v>244</v>
      </c>
      <c r="D11" s="29" t="s">
        <v>245</v>
      </c>
      <c r="E11" s="29" t="s">
        <v>246</v>
      </c>
      <c r="F11" s="29" t="s">
        <v>247</v>
      </c>
      <c r="G11" s="29" t="s">
        <v>248</v>
      </c>
      <c r="H11" s="29" t="s">
        <v>94</v>
      </c>
      <c r="I11" s="29" t="s">
        <v>118</v>
      </c>
      <c r="J11" s="29" t="s">
        <v>106</v>
      </c>
      <c r="K11" s="29" t="s">
        <v>82</v>
      </c>
      <c r="L11" s="29" t="s">
        <v>206</v>
      </c>
      <c r="M11" s="29" t="s">
        <v>249</v>
      </c>
      <c r="N11" s="29" t="s">
        <v>250</v>
      </c>
      <c r="O11" s="29" t="s">
        <v>251</v>
      </c>
      <c r="Q11" s="18" t="s">
        <v>209</v>
      </c>
      <c r="R11" s="30" t="s">
        <v>210</v>
      </c>
      <c r="S11" s="31"/>
      <c r="T11" s="31"/>
      <c r="U11" s="31"/>
      <c r="V11" s="31"/>
      <c r="W11" s="31"/>
      <c r="X11" s="31"/>
      <c r="Y11" s="31"/>
      <c r="Z11" s="31"/>
    </row>
    <row r="12" customFormat="false" ht="72" hidden="false" customHeight="true" outlineLevel="0" collapsed="false">
      <c r="A12" s="32" t="s">
        <v>252</v>
      </c>
      <c r="B12" s="33" t="s">
        <v>253</v>
      </c>
      <c r="C12" s="33" t="s">
        <v>254</v>
      </c>
      <c r="D12" s="33" t="s">
        <v>255</v>
      </c>
      <c r="E12" s="33" t="s">
        <v>256</v>
      </c>
      <c r="F12" s="33" t="s">
        <v>257</v>
      </c>
      <c r="G12" s="33" t="s">
        <v>258</v>
      </c>
      <c r="H12" s="33" t="s">
        <v>94</v>
      </c>
      <c r="I12" s="33" t="s">
        <v>100</v>
      </c>
      <c r="J12" s="33" t="s">
        <v>106</v>
      </c>
      <c r="K12" s="33" t="s">
        <v>118</v>
      </c>
      <c r="L12" s="33" t="s">
        <v>253</v>
      </c>
      <c r="M12" s="33" t="s">
        <v>259</v>
      </c>
      <c r="N12" s="33" t="s">
        <v>260</v>
      </c>
      <c r="O12" s="33" t="s">
        <v>261</v>
      </c>
      <c r="Q12" s="18" t="s">
        <v>209</v>
      </c>
      <c r="R12" s="30" t="s">
        <v>210</v>
      </c>
      <c r="S12" s="31"/>
      <c r="T12" s="31"/>
      <c r="U12" s="31"/>
      <c r="V12" s="31"/>
      <c r="W12" s="31"/>
      <c r="X12" s="31"/>
      <c r="Y12" s="31"/>
      <c r="Z12" s="31"/>
    </row>
    <row r="13" customFormat="false" ht="72" hidden="false" customHeight="true" outlineLevel="0" collapsed="false">
      <c r="A13" s="28" t="s">
        <v>262</v>
      </c>
      <c r="B13" s="29" t="s">
        <v>263</v>
      </c>
      <c r="C13" s="29" t="s">
        <v>264</v>
      </c>
      <c r="D13" s="29" t="s">
        <v>265</v>
      </c>
      <c r="E13" s="29" t="s">
        <v>266</v>
      </c>
      <c r="F13" s="29" t="s">
        <v>267</v>
      </c>
      <c r="G13" s="29" t="s">
        <v>268</v>
      </c>
      <c r="H13" s="29" t="s">
        <v>82</v>
      </c>
      <c r="I13" s="29" t="s">
        <v>76</v>
      </c>
      <c r="J13" s="29" t="s">
        <v>106</v>
      </c>
      <c r="K13" s="29" t="s">
        <v>112</v>
      </c>
      <c r="L13" s="29" t="s">
        <v>269</v>
      </c>
      <c r="M13" s="29" t="s">
        <v>270</v>
      </c>
      <c r="N13" s="29" t="s">
        <v>271</v>
      </c>
      <c r="O13" s="29" t="s">
        <v>272</v>
      </c>
      <c r="Q13" s="18" t="s">
        <v>209</v>
      </c>
      <c r="R13" s="30" t="s">
        <v>210</v>
      </c>
      <c r="S13" s="31"/>
      <c r="T13" s="31"/>
      <c r="U13" s="31"/>
      <c r="V13" s="31"/>
      <c r="W13" s="31"/>
      <c r="X13" s="31"/>
      <c r="Y13" s="31"/>
      <c r="Z13" s="31"/>
    </row>
    <row r="14" customFormat="false" ht="72" hidden="false" customHeight="true" outlineLevel="0" collapsed="false">
      <c r="A14" s="32" t="s">
        <v>273</v>
      </c>
      <c r="B14" s="33" t="s">
        <v>274</v>
      </c>
      <c r="C14" s="33" t="s">
        <v>275</v>
      </c>
      <c r="D14" s="33" t="s">
        <v>276</v>
      </c>
      <c r="E14" s="33" t="s">
        <v>277</v>
      </c>
      <c r="F14" s="33" t="s">
        <v>278</v>
      </c>
      <c r="G14" s="33" t="s">
        <v>279</v>
      </c>
      <c r="H14" s="33" t="s">
        <v>100</v>
      </c>
      <c r="I14" s="33" t="s">
        <v>112</v>
      </c>
      <c r="J14" s="33" t="s">
        <v>106</v>
      </c>
      <c r="K14" s="33" t="s">
        <v>94</v>
      </c>
      <c r="L14" s="33" t="s">
        <v>274</v>
      </c>
      <c r="M14" s="33" t="s">
        <v>280</v>
      </c>
      <c r="N14" s="33" t="s">
        <v>281</v>
      </c>
      <c r="O14" s="33" t="s">
        <v>282</v>
      </c>
      <c r="Q14" s="18" t="s">
        <v>209</v>
      </c>
      <c r="R14" s="30" t="s">
        <v>210</v>
      </c>
      <c r="S14" s="31"/>
      <c r="T14" s="31"/>
      <c r="U14" s="31"/>
      <c r="V14" s="31"/>
      <c r="W14" s="31"/>
      <c r="X14" s="31"/>
      <c r="Y14" s="31"/>
      <c r="Z14" s="31"/>
    </row>
    <row r="15" customFormat="false" ht="72" hidden="false" customHeight="true" outlineLevel="0" collapsed="false">
      <c r="A15" s="28" t="s">
        <v>283</v>
      </c>
      <c r="B15" s="29" t="s">
        <v>284</v>
      </c>
      <c r="C15" s="29" t="s">
        <v>285</v>
      </c>
      <c r="D15" s="29" t="s">
        <v>286</v>
      </c>
      <c r="E15" s="29" t="s">
        <v>287</v>
      </c>
      <c r="F15" s="29" t="s">
        <v>288</v>
      </c>
      <c r="G15" s="29" t="s">
        <v>289</v>
      </c>
      <c r="H15" s="29" t="s">
        <v>76</v>
      </c>
      <c r="I15" s="29" t="s">
        <v>82</v>
      </c>
      <c r="J15" s="29" t="s">
        <v>94</v>
      </c>
      <c r="K15" s="29" t="s">
        <v>124</v>
      </c>
      <c r="L15" s="29" t="s">
        <v>284</v>
      </c>
      <c r="M15" s="29" t="s">
        <v>290</v>
      </c>
      <c r="N15" s="29" t="s">
        <v>291</v>
      </c>
      <c r="O15" s="29" t="s">
        <v>292</v>
      </c>
      <c r="Q15" s="18" t="s">
        <v>209</v>
      </c>
      <c r="R15" s="30" t="s">
        <v>210</v>
      </c>
      <c r="S15" s="31"/>
      <c r="T15" s="31"/>
      <c r="U15" s="31"/>
      <c r="V15" s="31"/>
      <c r="W15" s="31"/>
      <c r="X15" s="31"/>
      <c r="Y15" s="31"/>
      <c r="Z15" s="31"/>
    </row>
    <row r="16" customFormat="false" ht="72" hidden="false" customHeight="true" outlineLevel="0" collapsed="false">
      <c r="A16" s="32" t="s">
        <v>293</v>
      </c>
      <c r="B16" s="33" t="s">
        <v>294</v>
      </c>
      <c r="C16" s="33" t="s">
        <v>295</v>
      </c>
      <c r="D16" s="33" t="s">
        <v>296</v>
      </c>
      <c r="E16" s="33" t="s">
        <v>297</v>
      </c>
      <c r="F16" s="33" t="s">
        <v>298</v>
      </c>
      <c r="G16" s="33" t="s">
        <v>299</v>
      </c>
      <c r="H16" s="33" t="s">
        <v>106</v>
      </c>
      <c r="I16" s="33" t="s">
        <v>88</v>
      </c>
      <c r="J16" s="33" t="s">
        <v>94</v>
      </c>
      <c r="K16" s="33" t="s">
        <v>112</v>
      </c>
      <c r="L16" s="33" t="s">
        <v>294</v>
      </c>
      <c r="M16" s="33" t="s">
        <v>300</v>
      </c>
      <c r="N16" s="33" t="s">
        <v>220</v>
      </c>
      <c r="O16" s="33" t="s">
        <v>301</v>
      </c>
      <c r="Q16" s="18" t="s">
        <v>209</v>
      </c>
      <c r="R16" s="30" t="s">
        <v>210</v>
      </c>
      <c r="S16" s="31"/>
      <c r="T16" s="31"/>
      <c r="U16" s="31"/>
      <c r="V16" s="31"/>
      <c r="W16" s="31"/>
      <c r="X16" s="31"/>
      <c r="Y16" s="31"/>
      <c r="Z16" s="31"/>
    </row>
    <row r="17" customFormat="false" ht="72" hidden="false" customHeight="true" outlineLevel="0" collapsed="false">
      <c r="A17" s="28" t="s">
        <v>302</v>
      </c>
      <c r="B17" s="29" t="s">
        <v>303</v>
      </c>
      <c r="C17" s="29" t="s">
        <v>304</v>
      </c>
      <c r="D17" s="29" t="s">
        <v>305</v>
      </c>
      <c r="E17" s="29" t="s">
        <v>306</v>
      </c>
      <c r="F17" s="29" t="s">
        <v>307</v>
      </c>
      <c r="G17" s="29" t="s">
        <v>308</v>
      </c>
      <c r="H17" s="29" t="s">
        <v>100</v>
      </c>
      <c r="I17" s="29" t="s">
        <v>94</v>
      </c>
      <c r="J17" s="29" t="s">
        <v>118</v>
      </c>
      <c r="K17" s="29" t="s">
        <v>112</v>
      </c>
      <c r="L17" s="29" t="s">
        <v>303</v>
      </c>
      <c r="M17" s="29" t="s">
        <v>309</v>
      </c>
      <c r="N17" s="29" t="s">
        <v>310</v>
      </c>
      <c r="O17" s="29" t="s">
        <v>311</v>
      </c>
      <c r="Q17" s="18" t="s">
        <v>209</v>
      </c>
      <c r="R17" s="30" t="s">
        <v>210</v>
      </c>
      <c r="S17" s="31"/>
      <c r="T17" s="31"/>
      <c r="U17" s="31"/>
      <c r="V17" s="31"/>
      <c r="W17" s="31"/>
      <c r="X17" s="31"/>
      <c r="Y17" s="31"/>
      <c r="Z17" s="31"/>
    </row>
    <row r="18" customFormat="false" ht="72" hidden="false" customHeight="true" outlineLevel="0" collapsed="false">
      <c r="A18" s="32" t="s">
        <v>312</v>
      </c>
      <c r="B18" s="33" t="s">
        <v>313</v>
      </c>
      <c r="C18" s="33" t="s">
        <v>314</v>
      </c>
      <c r="D18" s="33" t="s">
        <v>315</v>
      </c>
      <c r="E18" s="33" t="s">
        <v>316</v>
      </c>
      <c r="F18" s="33" t="s">
        <v>317</v>
      </c>
      <c r="G18" s="33" t="s">
        <v>318</v>
      </c>
      <c r="H18" s="33" t="s">
        <v>76</v>
      </c>
      <c r="I18" s="33" t="s">
        <v>88</v>
      </c>
      <c r="J18" s="33" t="s">
        <v>82</v>
      </c>
      <c r="K18" s="33" t="s">
        <v>124</v>
      </c>
      <c r="L18" s="33" t="s">
        <v>313</v>
      </c>
      <c r="M18" s="33" t="s">
        <v>319</v>
      </c>
      <c r="N18" s="33" t="s">
        <v>320</v>
      </c>
      <c r="O18" s="33" t="s">
        <v>321</v>
      </c>
      <c r="Q18" s="18" t="s">
        <v>209</v>
      </c>
      <c r="R18" s="30" t="s">
        <v>210</v>
      </c>
      <c r="S18" s="31"/>
      <c r="T18" s="31"/>
      <c r="U18" s="31"/>
      <c r="V18" s="31"/>
      <c r="W18" s="31"/>
      <c r="X18" s="31"/>
      <c r="Y18" s="31"/>
      <c r="Z18" s="31"/>
    </row>
    <row r="19" customFormat="false" ht="72" hidden="false" customHeight="true" outlineLevel="0" collapsed="false">
      <c r="A19" s="28" t="s">
        <v>322</v>
      </c>
      <c r="B19" s="29" t="s">
        <v>323</v>
      </c>
      <c r="C19" s="29" t="s">
        <v>324</v>
      </c>
      <c r="D19" s="29" t="s">
        <v>325</v>
      </c>
      <c r="E19" s="29" t="s">
        <v>326</v>
      </c>
      <c r="F19" s="29" t="s">
        <v>327</v>
      </c>
      <c r="G19" s="29" t="s">
        <v>328</v>
      </c>
      <c r="H19" s="29" t="s">
        <v>118</v>
      </c>
      <c r="I19" s="29" t="s">
        <v>94</v>
      </c>
      <c r="J19" s="29" t="s">
        <v>76</v>
      </c>
      <c r="K19" s="29" t="s">
        <v>82</v>
      </c>
      <c r="L19" s="29" t="s">
        <v>323</v>
      </c>
      <c r="M19" s="29" t="s">
        <v>329</v>
      </c>
      <c r="N19" s="29" t="s">
        <v>330</v>
      </c>
      <c r="O19" s="29" t="s">
        <v>331</v>
      </c>
      <c r="Q19" s="18" t="s">
        <v>209</v>
      </c>
      <c r="R19" s="30" t="s">
        <v>210</v>
      </c>
      <c r="S19" s="31"/>
      <c r="T19" s="31"/>
      <c r="U19" s="31"/>
      <c r="V19" s="31"/>
      <c r="W19" s="31"/>
      <c r="X19" s="31"/>
      <c r="Y19" s="31"/>
      <c r="Z19" s="31"/>
    </row>
    <row r="20" customFormat="false" ht="72" hidden="false" customHeight="true" outlineLevel="0" collapsed="false">
      <c r="A20" s="32" t="s">
        <v>332</v>
      </c>
      <c r="B20" s="33" t="s">
        <v>333</v>
      </c>
      <c r="C20" s="33" t="s">
        <v>334</v>
      </c>
      <c r="D20" s="33" t="s">
        <v>335</v>
      </c>
      <c r="E20" s="33" t="s">
        <v>336</v>
      </c>
      <c r="F20" s="33" t="s">
        <v>337</v>
      </c>
      <c r="G20" s="33" t="s">
        <v>338</v>
      </c>
      <c r="H20" s="33" t="s">
        <v>76</v>
      </c>
      <c r="I20" s="33" t="s">
        <v>106</v>
      </c>
      <c r="J20" s="33" t="s">
        <v>82</v>
      </c>
      <c r="K20" s="33" t="s">
        <v>112</v>
      </c>
      <c r="L20" s="33" t="s">
        <v>333</v>
      </c>
      <c r="M20" s="33" t="s">
        <v>339</v>
      </c>
      <c r="N20" s="33" t="s">
        <v>340</v>
      </c>
      <c r="O20" s="33" t="s">
        <v>341</v>
      </c>
      <c r="Q20" s="18" t="s">
        <v>209</v>
      </c>
      <c r="R20" s="30" t="s">
        <v>210</v>
      </c>
      <c r="S20" s="31"/>
      <c r="T20" s="31"/>
      <c r="U20" s="31"/>
      <c r="V20" s="31"/>
      <c r="W20" s="31"/>
      <c r="X20" s="31"/>
      <c r="Y20" s="31"/>
      <c r="Z20" s="31"/>
    </row>
    <row r="21" customFormat="false" ht="72" hidden="false" customHeight="true" outlineLevel="0" collapsed="false">
      <c r="A21" s="28" t="s">
        <v>342</v>
      </c>
      <c r="B21" s="29" t="s">
        <v>343</v>
      </c>
      <c r="C21" s="29" t="s">
        <v>344</v>
      </c>
      <c r="D21" s="29" t="s">
        <v>345</v>
      </c>
      <c r="E21" s="29" t="s">
        <v>346</v>
      </c>
      <c r="F21" s="29" t="s">
        <v>347</v>
      </c>
      <c r="G21" s="29" t="s">
        <v>348</v>
      </c>
      <c r="H21" s="29" t="s">
        <v>100</v>
      </c>
      <c r="I21" s="29" t="s">
        <v>94</v>
      </c>
      <c r="J21" s="29" t="s">
        <v>88</v>
      </c>
      <c r="K21" s="29" t="s">
        <v>76</v>
      </c>
      <c r="L21" s="29" t="s">
        <v>343</v>
      </c>
      <c r="M21" s="29" t="s">
        <v>349</v>
      </c>
      <c r="N21" s="29" t="s">
        <v>350</v>
      </c>
      <c r="O21" s="29" t="s">
        <v>351</v>
      </c>
      <c r="Q21" s="18" t="s">
        <v>209</v>
      </c>
      <c r="R21" s="30" t="s">
        <v>210</v>
      </c>
      <c r="S21" s="31"/>
      <c r="T21" s="31"/>
      <c r="U21" s="31"/>
      <c r="V21" s="31"/>
      <c r="W21" s="31"/>
      <c r="X21" s="31"/>
      <c r="Y21" s="31"/>
      <c r="Z21" s="31"/>
    </row>
    <row r="22" customFormat="false" ht="72" hidden="false" customHeight="true" outlineLevel="0" collapsed="false">
      <c r="A22" s="32" t="s">
        <v>352</v>
      </c>
      <c r="B22" s="33" t="s">
        <v>353</v>
      </c>
      <c r="C22" s="33" t="s">
        <v>354</v>
      </c>
      <c r="D22" s="33" t="s">
        <v>355</v>
      </c>
      <c r="E22" s="33" t="s">
        <v>356</v>
      </c>
      <c r="F22" s="33" t="s">
        <v>357</v>
      </c>
      <c r="G22" s="33" t="s">
        <v>358</v>
      </c>
      <c r="H22" s="33" t="s">
        <v>94</v>
      </c>
      <c r="I22" s="33" t="s">
        <v>106</v>
      </c>
      <c r="J22" s="33" t="s">
        <v>118</v>
      </c>
      <c r="K22" s="33" t="s">
        <v>124</v>
      </c>
      <c r="L22" s="33" t="s">
        <v>359</v>
      </c>
      <c r="M22" s="33" t="s">
        <v>360</v>
      </c>
      <c r="N22" s="33" t="s">
        <v>361</v>
      </c>
      <c r="O22" s="33" t="s">
        <v>362</v>
      </c>
      <c r="Q22" s="18" t="s">
        <v>209</v>
      </c>
      <c r="R22" s="30" t="s">
        <v>210</v>
      </c>
      <c r="S22" s="31"/>
      <c r="T22" s="31"/>
      <c r="U22" s="31"/>
      <c r="V22" s="31"/>
      <c r="W22" s="31"/>
      <c r="X22" s="31"/>
      <c r="Y22" s="31"/>
      <c r="Z22" s="31"/>
    </row>
    <row r="23" customFormat="false" ht="72" hidden="false" customHeight="true" outlineLevel="0" collapsed="false">
      <c r="A23" s="28" t="s">
        <v>363</v>
      </c>
      <c r="B23" s="29" t="s">
        <v>364</v>
      </c>
      <c r="C23" s="29" t="s">
        <v>365</v>
      </c>
      <c r="D23" s="29" t="s">
        <v>366</v>
      </c>
      <c r="E23" s="29" t="s">
        <v>367</v>
      </c>
      <c r="F23" s="29" t="s">
        <v>368</v>
      </c>
      <c r="G23" s="29" t="s">
        <v>369</v>
      </c>
      <c r="H23" s="29" t="s">
        <v>94</v>
      </c>
      <c r="I23" s="29" t="s">
        <v>88</v>
      </c>
      <c r="J23" s="29" t="s">
        <v>82</v>
      </c>
      <c r="K23" s="29" t="s">
        <v>106</v>
      </c>
      <c r="L23" s="29" t="s">
        <v>370</v>
      </c>
      <c r="M23" s="29" t="s">
        <v>371</v>
      </c>
      <c r="N23" s="29" t="s">
        <v>372</v>
      </c>
      <c r="O23" s="29" t="s">
        <v>373</v>
      </c>
      <c r="Q23" s="18" t="s">
        <v>209</v>
      </c>
      <c r="R23" s="30" t="s">
        <v>210</v>
      </c>
      <c r="S23" s="31"/>
      <c r="T23" s="31"/>
      <c r="U23" s="31"/>
      <c r="V23" s="31"/>
      <c r="W23" s="31"/>
      <c r="X23" s="31"/>
      <c r="Y23" s="31"/>
      <c r="Z23" s="31"/>
    </row>
    <row r="24" customFormat="false" ht="72" hidden="false" customHeight="true" outlineLevel="0" collapsed="false">
      <c r="A24" s="32" t="s">
        <v>374</v>
      </c>
      <c r="B24" s="33" t="s">
        <v>195</v>
      </c>
      <c r="C24" s="33" t="s">
        <v>375</v>
      </c>
      <c r="D24" s="33" t="s">
        <v>376</v>
      </c>
      <c r="E24" s="33" t="s">
        <v>377</v>
      </c>
      <c r="F24" s="33" t="s">
        <v>378</v>
      </c>
      <c r="G24" s="33" t="s">
        <v>379</v>
      </c>
      <c r="H24" s="33" t="s">
        <v>76</v>
      </c>
      <c r="I24" s="33" t="s">
        <v>82</v>
      </c>
      <c r="J24" s="33" t="s">
        <v>124</v>
      </c>
      <c r="K24" s="33" t="s">
        <v>112</v>
      </c>
      <c r="L24" s="33" t="s">
        <v>380</v>
      </c>
      <c r="M24" s="33" t="s">
        <v>381</v>
      </c>
      <c r="N24" s="33" t="s">
        <v>197</v>
      </c>
      <c r="O24" s="33" t="s">
        <v>382</v>
      </c>
      <c r="Q24" s="18" t="s">
        <v>209</v>
      </c>
      <c r="R24" s="30" t="s">
        <v>210</v>
      </c>
      <c r="S24" s="31"/>
      <c r="T24" s="31"/>
      <c r="U24" s="31"/>
      <c r="V24" s="31"/>
      <c r="W24" s="31"/>
      <c r="X24" s="31"/>
      <c r="Y24" s="31"/>
      <c r="Z24" s="31"/>
    </row>
    <row r="25" customFormat="false" ht="113.25" hidden="false" customHeight="true" outlineLevel="0" collapsed="false">
      <c r="A25" s="17" t="s">
        <v>383</v>
      </c>
      <c r="B25" s="17" t="s">
        <v>384</v>
      </c>
      <c r="C25" s="18" t="s">
        <v>385</v>
      </c>
      <c r="D25" s="18" t="s">
        <v>386</v>
      </c>
      <c r="E25" s="18" t="s">
        <v>387</v>
      </c>
      <c r="F25" s="18" t="s">
        <v>388</v>
      </c>
      <c r="G25" s="18" t="s">
        <v>389</v>
      </c>
      <c r="H25" s="18" t="s">
        <v>94</v>
      </c>
      <c r="I25" s="18" t="s">
        <v>100</v>
      </c>
      <c r="J25" s="18" t="s">
        <v>88</v>
      </c>
      <c r="K25" s="18" t="s">
        <v>82</v>
      </c>
      <c r="L25" s="18" t="s">
        <v>390</v>
      </c>
      <c r="M25" s="18" t="s">
        <v>391</v>
      </c>
      <c r="N25" s="18" t="s">
        <v>392</v>
      </c>
      <c r="O25" s="18" t="s">
        <v>393</v>
      </c>
      <c r="Q25" s="18" t="s">
        <v>209</v>
      </c>
      <c r="R25" s="18" t="s">
        <v>210</v>
      </c>
      <c r="S25" s="34"/>
      <c r="T25" s="34"/>
      <c r="U25" s="34"/>
      <c r="V25" s="34"/>
      <c r="W25" s="34"/>
      <c r="X25" s="34"/>
      <c r="Y25" s="34"/>
      <c r="Z25" s="34"/>
    </row>
  </sheetData>
  <mergeCells count="1">
    <mergeCell ref="A1:P1"/>
  </mergeCells>
  <dataValidations count="6">
    <dataValidation allowBlank="true" errorStyle="stop" operator="between" showDropDown="false" showErrorMessage="false" showInputMessage="false" sqref="P3:P6" type="list">
      <formula1>"A,B,C,D"</formula1>
      <formula2>0</formula2>
    </dataValidation>
    <dataValidation allowBlank="true" errorStyle="stop" operator="between" showDropDown="false" showErrorMessage="false" showInputMessage="false" sqref="S7:S25" type="list">
      <formula1>"yes,no,document_supported"</formula1>
      <formula2>0</formula2>
    </dataValidation>
    <dataValidation allowBlank="true" errorStyle="stop" operator="between" showDropDown="false" showErrorMessage="false" showInputMessage="false" sqref="P7:P25" type="list">
      <formula1>"A,B,C,D,E"</formula1>
      <formula2>0</formula2>
    </dataValidation>
    <dataValidation allowBlank="true" errorStyle="stop" operator="between" showDropDown="false" showErrorMessage="false" showInputMessage="false" sqref="T7:T25" type="list">
      <formula1>"direct_observation,document_supported,reported_by_others,inference,hypothetical,unknown"</formula1>
      <formula2>0</formula2>
    </dataValidation>
    <dataValidation allowBlank="true" errorStyle="stop" operator="between" showDropDown="false" showErrorMessage="false" showInputMessage="false" sqref="U7:U25" type="list">
      <formula1>"first_hand,second_hand,document_based,pattern_based,speculative,not_known"</formula1>
      <formula2>0</formula2>
    </dataValidation>
    <dataValidation allowBlank="true" errorStyle="stop" operator="between" showDropDown="false" showErrorMessage="false" showInputMessage="false" sqref="V7:V25" type="list">
      <formula1>"high,medium,low,cannot_determine"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36"/>
    <col collapsed="false" customWidth="true" hidden="false" outlineLevel="0" max="4" min="4" style="1" width="12"/>
    <col collapsed="false" customWidth="true" hidden="false" outlineLevel="0" max="5" min="5" style="1" width="22"/>
    <col collapsed="false" customWidth="true" hidden="false" outlineLevel="0" max="6" min="6" style="1" width="38"/>
    <col collapsed="false" customWidth="true" hidden="false" outlineLevel="0" max="7" min="7" style="1" width="22"/>
    <col collapsed="false" customWidth="true" hidden="false" outlineLevel="0" max="8" min="8" style="1" width="32"/>
  </cols>
  <sheetData>
    <row r="1" customFormat="false" ht="27.75" hidden="false" customHeight="true" outlineLevel="0" collapsed="false">
      <c r="A1" s="35" t="s">
        <v>394</v>
      </c>
      <c r="B1" s="35"/>
      <c r="C1" s="35"/>
      <c r="D1" s="35"/>
      <c r="E1" s="35"/>
      <c r="F1" s="35"/>
      <c r="G1" s="35"/>
      <c r="H1" s="35"/>
    </row>
    <row r="2" customFormat="false" ht="27.75" hidden="false" customHeight="true" outlineLevel="0" collapsed="false">
      <c r="A2" s="36" t="s">
        <v>131</v>
      </c>
      <c r="B2" s="36" t="s">
        <v>395</v>
      </c>
      <c r="C2" s="36" t="s">
        <v>396</v>
      </c>
      <c r="D2" s="36" t="s">
        <v>70</v>
      </c>
      <c r="E2" s="36" t="s">
        <v>71</v>
      </c>
      <c r="F2" s="36" t="s">
        <v>397</v>
      </c>
      <c r="G2" s="36" t="s">
        <v>398</v>
      </c>
      <c r="H2" s="36" t="s">
        <v>399</v>
      </c>
    </row>
    <row r="3" customFormat="false" ht="36" hidden="false" customHeight="true" outlineLevel="0" collapsed="false">
      <c r="A3" s="27" t="s">
        <v>157</v>
      </c>
      <c r="B3" s="27" t="s">
        <v>400</v>
      </c>
      <c r="C3" s="27" t="s">
        <v>401</v>
      </c>
      <c r="D3" s="27" t="s">
        <v>164</v>
      </c>
      <c r="E3" s="27" t="s">
        <v>402</v>
      </c>
      <c r="F3" s="27" t="s">
        <v>403</v>
      </c>
      <c r="G3" s="27" t="s">
        <v>404</v>
      </c>
      <c r="H3" s="27" t="s">
        <v>405</v>
      </c>
    </row>
    <row r="4" customFormat="false" ht="36" hidden="false" customHeight="true" outlineLevel="0" collapsed="false">
      <c r="A4" s="27" t="s">
        <v>157</v>
      </c>
      <c r="B4" s="27" t="s">
        <v>406</v>
      </c>
      <c r="C4" s="27" t="s">
        <v>407</v>
      </c>
      <c r="D4" s="27" t="s">
        <v>164</v>
      </c>
      <c r="E4" s="27" t="s">
        <v>402</v>
      </c>
      <c r="F4" s="27" t="s">
        <v>408</v>
      </c>
      <c r="G4" s="27" t="s">
        <v>409</v>
      </c>
      <c r="H4" s="27" t="s">
        <v>410</v>
      </c>
    </row>
    <row r="5" customFormat="false" ht="36" hidden="false" customHeight="true" outlineLevel="0" collapsed="false">
      <c r="A5" s="27" t="s">
        <v>157</v>
      </c>
      <c r="B5" s="27" t="s">
        <v>411</v>
      </c>
      <c r="C5" s="27" t="s">
        <v>412</v>
      </c>
      <c r="D5" s="27" t="s">
        <v>164</v>
      </c>
      <c r="E5" s="27" t="s">
        <v>402</v>
      </c>
      <c r="F5" s="27" t="s">
        <v>413</v>
      </c>
      <c r="G5" s="27" t="s">
        <v>414</v>
      </c>
      <c r="H5" s="27" t="s">
        <v>415</v>
      </c>
    </row>
    <row r="6" customFormat="false" ht="36" hidden="false" customHeight="true" outlineLevel="0" collapsed="false">
      <c r="A6" s="27" t="s">
        <v>157</v>
      </c>
      <c r="B6" s="27" t="s">
        <v>416</v>
      </c>
      <c r="C6" s="27" t="s">
        <v>417</v>
      </c>
      <c r="D6" s="27" t="s">
        <v>164</v>
      </c>
      <c r="E6" s="27" t="s">
        <v>402</v>
      </c>
      <c r="F6" s="27" t="s">
        <v>418</v>
      </c>
      <c r="G6" s="27" t="s">
        <v>419</v>
      </c>
      <c r="H6" s="27" t="s">
        <v>420</v>
      </c>
    </row>
    <row r="7" customFormat="false" ht="36" hidden="false" customHeight="true" outlineLevel="0" collapsed="false">
      <c r="A7" s="27" t="s">
        <v>169</v>
      </c>
      <c r="B7" s="27" t="s">
        <v>400</v>
      </c>
      <c r="C7" s="27" t="s">
        <v>421</v>
      </c>
      <c r="D7" s="27" t="s">
        <v>164</v>
      </c>
      <c r="E7" s="27" t="s">
        <v>402</v>
      </c>
      <c r="F7" s="27" t="s">
        <v>422</v>
      </c>
      <c r="G7" s="27" t="s">
        <v>423</v>
      </c>
      <c r="H7" s="27" t="s">
        <v>405</v>
      </c>
    </row>
    <row r="8" customFormat="false" ht="36" hidden="false" customHeight="true" outlineLevel="0" collapsed="false">
      <c r="A8" s="27" t="s">
        <v>169</v>
      </c>
      <c r="B8" s="27" t="s">
        <v>406</v>
      </c>
      <c r="C8" s="27" t="s">
        <v>424</v>
      </c>
      <c r="D8" s="27" t="s">
        <v>164</v>
      </c>
      <c r="E8" s="27" t="s">
        <v>402</v>
      </c>
      <c r="F8" s="27" t="s">
        <v>425</v>
      </c>
      <c r="G8" s="27" t="s">
        <v>426</v>
      </c>
      <c r="H8" s="27" t="s">
        <v>410</v>
      </c>
    </row>
    <row r="9" customFormat="false" ht="36" hidden="false" customHeight="true" outlineLevel="0" collapsed="false">
      <c r="A9" s="27" t="s">
        <v>169</v>
      </c>
      <c r="B9" s="27" t="s">
        <v>411</v>
      </c>
      <c r="C9" s="27" t="s">
        <v>427</v>
      </c>
      <c r="D9" s="27" t="s">
        <v>164</v>
      </c>
      <c r="E9" s="27" t="s">
        <v>402</v>
      </c>
      <c r="F9" s="27" t="s">
        <v>428</v>
      </c>
      <c r="G9" s="27" t="s">
        <v>429</v>
      </c>
      <c r="H9" s="27" t="s">
        <v>415</v>
      </c>
    </row>
    <row r="10" customFormat="false" ht="36" hidden="false" customHeight="true" outlineLevel="0" collapsed="false">
      <c r="A10" s="27" t="s">
        <v>169</v>
      </c>
      <c r="B10" s="27" t="s">
        <v>416</v>
      </c>
      <c r="C10" s="27" t="s">
        <v>430</v>
      </c>
      <c r="D10" s="27" t="s">
        <v>164</v>
      </c>
      <c r="E10" s="27" t="s">
        <v>402</v>
      </c>
      <c r="F10" s="27" t="s">
        <v>431</v>
      </c>
      <c r="G10" s="27" t="s">
        <v>432</v>
      </c>
      <c r="H10" s="27" t="s">
        <v>420</v>
      </c>
    </row>
    <row r="11" customFormat="false" ht="36" hidden="false" customHeight="true" outlineLevel="0" collapsed="false">
      <c r="A11" s="27" t="s">
        <v>179</v>
      </c>
      <c r="B11" s="27" t="s">
        <v>400</v>
      </c>
      <c r="C11" s="27" t="s">
        <v>433</v>
      </c>
      <c r="D11" s="27" t="s">
        <v>164</v>
      </c>
      <c r="E11" s="27" t="s">
        <v>402</v>
      </c>
      <c r="F11" s="27" t="s">
        <v>434</v>
      </c>
      <c r="G11" s="27" t="s">
        <v>435</v>
      </c>
      <c r="H11" s="27" t="s">
        <v>405</v>
      </c>
    </row>
    <row r="12" customFormat="false" ht="36" hidden="false" customHeight="true" outlineLevel="0" collapsed="false">
      <c r="A12" s="27" t="s">
        <v>179</v>
      </c>
      <c r="B12" s="27" t="s">
        <v>406</v>
      </c>
      <c r="C12" s="27" t="s">
        <v>436</v>
      </c>
      <c r="D12" s="27" t="s">
        <v>164</v>
      </c>
      <c r="E12" s="27" t="s">
        <v>402</v>
      </c>
      <c r="F12" s="27" t="s">
        <v>437</v>
      </c>
      <c r="G12" s="27" t="s">
        <v>438</v>
      </c>
      <c r="H12" s="27" t="s">
        <v>410</v>
      </c>
    </row>
    <row r="13" customFormat="false" ht="36" hidden="false" customHeight="true" outlineLevel="0" collapsed="false">
      <c r="A13" s="27" t="s">
        <v>179</v>
      </c>
      <c r="B13" s="27" t="s">
        <v>411</v>
      </c>
      <c r="C13" s="27" t="s">
        <v>439</v>
      </c>
      <c r="D13" s="27" t="s">
        <v>164</v>
      </c>
      <c r="E13" s="27" t="s">
        <v>402</v>
      </c>
      <c r="F13" s="27" t="s">
        <v>440</v>
      </c>
      <c r="G13" s="27" t="s">
        <v>441</v>
      </c>
      <c r="H13" s="27" t="s">
        <v>415</v>
      </c>
    </row>
    <row r="14" customFormat="false" ht="36" hidden="false" customHeight="true" outlineLevel="0" collapsed="false">
      <c r="A14" s="27" t="s">
        <v>179</v>
      </c>
      <c r="B14" s="27" t="s">
        <v>416</v>
      </c>
      <c r="C14" s="27" t="s">
        <v>442</v>
      </c>
      <c r="D14" s="27" t="s">
        <v>164</v>
      </c>
      <c r="E14" s="27" t="s">
        <v>402</v>
      </c>
      <c r="F14" s="27" t="s">
        <v>443</v>
      </c>
      <c r="G14" s="27" t="s">
        <v>444</v>
      </c>
      <c r="H14" s="27" t="s">
        <v>420</v>
      </c>
    </row>
    <row r="15" customFormat="false" ht="36" hidden="false" customHeight="true" outlineLevel="0" collapsed="false">
      <c r="A15" s="27" t="s">
        <v>189</v>
      </c>
      <c r="B15" s="27" t="s">
        <v>400</v>
      </c>
      <c r="C15" s="27" t="s">
        <v>445</v>
      </c>
      <c r="D15" s="27" t="s">
        <v>164</v>
      </c>
      <c r="E15" s="27" t="s">
        <v>402</v>
      </c>
      <c r="F15" s="27" t="s">
        <v>446</v>
      </c>
      <c r="G15" s="27" t="s">
        <v>447</v>
      </c>
      <c r="H15" s="27" t="s">
        <v>448</v>
      </c>
    </row>
    <row r="16" customFormat="false" ht="36" hidden="false" customHeight="true" outlineLevel="0" collapsed="false">
      <c r="A16" s="27" t="s">
        <v>189</v>
      </c>
      <c r="B16" s="27" t="s">
        <v>406</v>
      </c>
      <c r="C16" s="27" t="s">
        <v>449</v>
      </c>
      <c r="D16" s="27" t="s">
        <v>164</v>
      </c>
      <c r="E16" s="27" t="s">
        <v>402</v>
      </c>
      <c r="F16" s="27" t="s">
        <v>450</v>
      </c>
      <c r="G16" s="27" t="s">
        <v>451</v>
      </c>
      <c r="H16" s="27" t="s">
        <v>452</v>
      </c>
    </row>
    <row r="17" customFormat="false" ht="36" hidden="false" customHeight="true" outlineLevel="0" collapsed="false">
      <c r="A17" s="27" t="s">
        <v>189</v>
      </c>
      <c r="B17" s="27" t="s">
        <v>411</v>
      </c>
      <c r="C17" s="27" t="s">
        <v>453</v>
      </c>
      <c r="D17" s="27" t="s">
        <v>164</v>
      </c>
      <c r="E17" s="27" t="s">
        <v>402</v>
      </c>
      <c r="F17" s="27" t="s">
        <v>454</v>
      </c>
      <c r="G17" s="27" t="s">
        <v>455</v>
      </c>
      <c r="H17" s="27" t="s">
        <v>456</v>
      </c>
    </row>
    <row r="18" customFormat="false" ht="36" hidden="false" customHeight="true" outlineLevel="0" collapsed="false">
      <c r="A18" s="27" t="s">
        <v>189</v>
      </c>
      <c r="B18" s="27" t="s">
        <v>416</v>
      </c>
      <c r="C18" s="27" t="s">
        <v>457</v>
      </c>
      <c r="D18" s="27" t="s">
        <v>164</v>
      </c>
      <c r="E18" s="27" t="s">
        <v>402</v>
      </c>
      <c r="F18" s="27" t="s">
        <v>458</v>
      </c>
      <c r="G18" s="27" t="s">
        <v>459</v>
      </c>
      <c r="H18" s="27" t="s">
        <v>460</v>
      </c>
    </row>
    <row r="19" customFormat="false" ht="36" hidden="false" customHeight="true" outlineLevel="0" collapsed="false">
      <c r="A19" s="32" t="s">
        <v>199</v>
      </c>
      <c r="B19" s="33" t="s">
        <v>400</v>
      </c>
      <c r="C19" s="33" t="s">
        <v>461</v>
      </c>
      <c r="D19" s="33" t="s">
        <v>76</v>
      </c>
      <c r="E19" s="33" t="s">
        <v>77</v>
      </c>
      <c r="F19" s="33" t="s">
        <v>462</v>
      </c>
      <c r="G19" s="33" t="s">
        <v>463</v>
      </c>
      <c r="H19" s="33" t="s">
        <v>464</v>
      </c>
    </row>
    <row r="20" customFormat="false" ht="36" hidden="false" customHeight="true" outlineLevel="0" collapsed="false">
      <c r="A20" s="32" t="s">
        <v>199</v>
      </c>
      <c r="B20" s="33" t="s">
        <v>406</v>
      </c>
      <c r="C20" s="33" t="s">
        <v>465</v>
      </c>
      <c r="D20" s="33" t="s">
        <v>94</v>
      </c>
      <c r="E20" s="33" t="s">
        <v>95</v>
      </c>
      <c r="F20" s="33" t="s">
        <v>466</v>
      </c>
      <c r="G20" s="33" t="s">
        <v>467</v>
      </c>
      <c r="H20" s="33" t="s">
        <v>464</v>
      </c>
    </row>
    <row r="21" customFormat="false" ht="36" hidden="false" customHeight="true" outlineLevel="0" collapsed="false">
      <c r="A21" s="32" t="s">
        <v>199</v>
      </c>
      <c r="B21" s="33" t="s">
        <v>411</v>
      </c>
      <c r="C21" s="33" t="s">
        <v>468</v>
      </c>
      <c r="D21" s="33" t="s">
        <v>82</v>
      </c>
      <c r="E21" s="33" t="s">
        <v>83</v>
      </c>
      <c r="F21" s="33" t="s">
        <v>469</v>
      </c>
      <c r="G21" s="33" t="s">
        <v>470</v>
      </c>
      <c r="H21" s="33" t="s">
        <v>464</v>
      </c>
    </row>
    <row r="22" customFormat="false" ht="36" hidden="false" customHeight="true" outlineLevel="0" collapsed="false">
      <c r="A22" s="32" t="s">
        <v>199</v>
      </c>
      <c r="B22" s="33" t="s">
        <v>416</v>
      </c>
      <c r="C22" s="33" t="s">
        <v>471</v>
      </c>
      <c r="D22" s="33" t="s">
        <v>124</v>
      </c>
      <c r="E22" s="33" t="s">
        <v>125</v>
      </c>
      <c r="F22" s="33" t="s">
        <v>472</v>
      </c>
      <c r="G22" s="33" t="s">
        <v>473</v>
      </c>
      <c r="H22" s="33" t="s">
        <v>464</v>
      </c>
    </row>
    <row r="23" customFormat="false" ht="36" hidden="false" customHeight="true" outlineLevel="0" collapsed="false">
      <c r="A23" s="28" t="s">
        <v>211</v>
      </c>
      <c r="B23" s="29" t="s">
        <v>400</v>
      </c>
      <c r="C23" s="29" t="s">
        <v>474</v>
      </c>
      <c r="D23" s="29" t="s">
        <v>94</v>
      </c>
      <c r="E23" s="29" t="s">
        <v>95</v>
      </c>
      <c r="F23" s="29" t="s">
        <v>475</v>
      </c>
      <c r="G23" s="29" t="s">
        <v>467</v>
      </c>
      <c r="H23" s="29" t="s">
        <v>464</v>
      </c>
    </row>
    <row r="24" customFormat="false" ht="36" hidden="false" customHeight="true" outlineLevel="0" collapsed="false">
      <c r="A24" s="28" t="s">
        <v>211</v>
      </c>
      <c r="B24" s="29" t="s">
        <v>406</v>
      </c>
      <c r="C24" s="29" t="s">
        <v>476</v>
      </c>
      <c r="D24" s="29" t="s">
        <v>106</v>
      </c>
      <c r="E24" s="29" t="s">
        <v>107</v>
      </c>
      <c r="F24" s="29" t="s">
        <v>477</v>
      </c>
      <c r="G24" s="29" t="s">
        <v>478</v>
      </c>
      <c r="H24" s="29" t="s">
        <v>464</v>
      </c>
    </row>
    <row r="25" customFormat="false" ht="36" hidden="false" customHeight="true" outlineLevel="0" collapsed="false">
      <c r="A25" s="28" t="s">
        <v>211</v>
      </c>
      <c r="B25" s="29" t="s">
        <v>411</v>
      </c>
      <c r="C25" s="29" t="s">
        <v>479</v>
      </c>
      <c r="D25" s="29" t="s">
        <v>82</v>
      </c>
      <c r="E25" s="29" t="s">
        <v>83</v>
      </c>
      <c r="F25" s="29" t="s">
        <v>480</v>
      </c>
      <c r="G25" s="29" t="s">
        <v>470</v>
      </c>
      <c r="H25" s="29" t="s">
        <v>464</v>
      </c>
    </row>
    <row r="26" customFormat="false" ht="36" hidden="false" customHeight="true" outlineLevel="0" collapsed="false">
      <c r="A26" s="28" t="s">
        <v>211</v>
      </c>
      <c r="B26" s="29" t="s">
        <v>416</v>
      </c>
      <c r="C26" s="29" t="s">
        <v>481</v>
      </c>
      <c r="D26" s="29" t="s">
        <v>112</v>
      </c>
      <c r="E26" s="29" t="s">
        <v>113</v>
      </c>
      <c r="F26" s="29" t="s">
        <v>482</v>
      </c>
      <c r="G26" s="29" t="s">
        <v>483</v>
      </c>
      <c r="H26" s="29" t="s">
        <v>464</v>
      </c>
    </row>
    <row r="27" customFormat="false" ht="36" hidden="false" customHeight="true" outlineLevel="0" collapsed="false">
      <c r="A27" s="32" t="s">
        <v>222</v>
      </c>
      <c r="B27" s="33" t="s">
        <v>400</v>
      </c>
      <c r="C27" s="33" t="s">
        <v>484</v>
      </c>
      <c r="D27" s="33" t="s">
        <v>100</v>
      </c>
      <c r="E27" s="33" t="s">
        <v>101</v>
      </c>
      <c r="F27" s="33" t="s">
        <v>485</v>
      </c>
      <c r="G27" s="33" t="s">
        <v>486</v>
      </c>
      <c r="H27" s="33" t="s">
        <v>464</v>
      </c>
    </row>
    <row r="28" customFormat="false" ht="36" hidden="false" customHeight="true" outlineLevel="0" collapsed="false">
      <c r="A28" s="32" t="s">
        <v>222</v>
      </c>
      <c r="B28" s="33" t="s">
        <v>406</v>
      </c>
      <c r="C28" s="33" t="s">
        <v>487</v>
      </c>
      <c r="D28" s="33" t="s">
        <v>112</v>
      </c>
      <c r="E28" s="33" t="s">
        <v>113</v>
      </c>
      <c r="F28" s="33" t="s">
        <v>488</v>
      </c>
      <c r="G28" s="33" t="s">
        <v>483</v>
      </c>
      <c r="H28" s="33" t="s">
        <v>464</v>
      </c>
    </row>
    <row r="29" customFormat="false" ht="36" hidden="false" customHeight="true" outlineLevel="0" collapsed="false">
      <c r="A29" s="32" t="s">
        <v>222</v>
      </c>
      <c r="B29" s="33" t="s">
        <v>411</v>
      </c>
      <c r="C29" s="33" t="s">
        <v>489</v>
      </c>
      <c r="D29" s="33" t="s">
        <v>94</v>
      </c>
      <c r="E29" s="33" t="s">
        <v>95</v>
      </c>
      <c r="F29" s="33" t="s">
        <v>490</v>
      </c>
      <c r="G29" s="33" t="s">
        <v>467</v>
      </c>
      <c r="H29" s="33" t="s">
        <v>464</v>
      </c>
    </row>
    <row r="30" customFormat="false" ht="36" hidden="false" customHeight="true" outlineLevel="0" collapsed="false">
      <c r="A30" s="32" t="s">
        <v>222</v>
      </c>
      <c r="B30" s="33" t="s">
        <v>416</v>
      </c>
      <c r="C30" s="33" t="s">
        <v>491</v>
      </c>
      <c r="D30" s="33" t="s">
        <v>88</v>
      </c>
      <c r="E30" s="33" t="s">
        <v>89</v>
      </c>
      <c r="F30" s="33" t="s">
        <v>492</v>
      </c>
      <c r="G30" s="33" t="s">
        <v>493</v>
      </c>
      <c r="H30" s="33" t="s">
        <v>464</v>
      </c>
    </row>
    <row r="31" customFormat="false" ht="36" hidden="false" customHeight="true" outlineLevel="0" collapsed="false">
      <c r="A31" s="28" t="s">
        <v>232</v>
      </c>
      <c r="B31" s="29" t="s">
        <v>400</v>
      </c>
      <c r="C31" s="29" t="s">
        <v>494</v>
      </c>
      <c r="D31" s="29" t="s">
        <v>94</v>
      </c>
      <c r="E31" s="29" t="s">
        <v>95</v>
      </c>
      <c r="F31" s="29" t="s">
        <v>495</v>
      </c>
      <c r="G31" s="29" t="s">
        <v>467</v>
      </c>
      <c r="H31" s="29" t="s">
        <v>464</v>
      </c>
    </row>
    <row r="32" customFormat="false" ht="36" hidden="false" customHeight="true" outlineLevel="0" collapsed="false">
      <c r="A32" s="28" t="s">
        <v>232</v>
      </c>
      <c r="B32" s="29" t="s">
        <v>406</v>
      </c>
      <c r="C32" s="29" t="s">
        <v>496</v>
      </c>
      <c r="D32" s="29" t="s">
        <v>76</v>
      </c>
      <c r="E32" s="29" t="s">
        <v>77</v>
      </c>
      <c r="F32" s="29" t="s">
        <v>497</v>
      </c>
      <c r="G32" s="29" t="s">
        <v>463</v>
      </c>
      <c r="H32" s="29" t="s">
        <v>464</v>
      </c>
    </row>
    <row r="33" customFormat="false" ht="36" hidden="false" customHeight="true" outlineLevel="0" collapsed="false">
      <c r="A33" s="28" t="s">
        <v>232</v>
      </c>
      <c r="B33" s="29" t="s">
        <v>411</v>
      </c>
      <c r="C33" s="29" t="s">
        <v>498</v>
      </c>
      <c r="D33" s="29" t="s">
        <v>82</v>
      </c>
      <c r="E33" s="29" t="s">
        <v>83</v>
      </c>
      <c r="F33" s="29" t="s">
        <v>499</v>
      </c>
      <c r="G33" s="29" t="s">
        <v>470</v>
      </c>
      <c r="H33" s="29" t="s">
        <v>464</v>
      </c>
    </row>
    <row r="34" customFormat="false" ht="36" hidden="false" customHeight="true" outlineLevel="0" collapsed="false">
      <c r="A34" s="28" t="s">
        <v>232</v>
      </c>
      <c r="B34" s="29" t="s">
        <v>416</v>
      </c>
      <c r="C34" s="29" t="s">
        <v>500</v>
      </c>
      <c r="D34" s="29" t="s">
        <v>118</v>
      </c>
      <c r="E34" s="29" t="s">
        <v>119</v>
      </c>
      <c r="F34" s="29" t="s">
        <v>501</v>
      </c>
      <c r="G34" s="29" t="s">
        <v>502</v>
      </c>
      <c r="H34" s="29" t="s">
        <v>464</v>
      </c>
    </row>
    <row r="35" customFormat="false" ht="36" hidden="false" customHeight="true" outlineLevel="0" collapsed="false">
      <c r="A35" s="32" t="s">
        <v>242</v>
      </c>
      <c r="B35" s="33" t="s">
        <v>400</v>
      </c>
      <c r="C35" s="33" t="s">
        <v>503</v>
      </c>
      <c r="D35" s="33" t="s">
        <v>94</v>
      </c>
      <c r="E35" s="33" t="s">
        <v>95</v>
      </c>
      <c r="F35" s="33" t="s">
        <v>504</v>
      </c>
      <c r="G35" s="33" t="s">
        <v>467</v>
      </c>
      <c r="H35" s="33" t="s">
        <v>464</v>
      </c>
    </row>
    <row r="36" customFormat="false" ht="36" hidden="false" customHeight="true" outlineLevel="0" collapsed="false">
      <c r="A36" s="32" t="s">
        <v>242</v>
      </c>
      <c r="B36" s="33" t="s">
        <v>406</v>
      </c>
      <c r="C36" s="33" t="s">
        <v>505</v>
      </c>
      <c r="D36" s="33" t="s">
        <v>118</v>
      </c>
      <c r="E36" s="33" t="s">
        <v>119</v>
      </c>
      <c r="F36" s="33" t="s">
        <v>506</v>
      </c>
      <c r="G36" s="33" t="s">
        <v>502</v>
      </c>
      <c r="H36" s="33" t="s">
        <v>464</v>
      </c>
    </row>
    <row r="37" customFormat="false" ht="36" hidden="false" customHeight="true" outlineLevel="0" collapsed="false">
      <c r="A37" s="32" t="s">
        <v>242</v>
      </c>
      <c r="B37" s="33" t="s">
        <v>411</v>
      </c>
      <c r="C37" s="33" t="s">
        <v>247</v>
      </c>
      <c r="D37" s="33" t="s">
        <v>106</v>
      </c>
      <c r="E37" s="33" t="s">
        <v>107</v>
      </c>
      <c r="F37" s="33" t="s">
        <v>507</v>
      </c>
      <c r="G37" s="33" t="s">
        <v>478</v>
      </c>
      <c r="H37" s="33" t="s">
        <v>464</v>
      </c>
    </row>
    <row r="38" customFormat="false" ht="36" hidden="false" customHeight="true" outlineLevel="0" collapsed="false">
      <c r="A38" s="32" t="s">
        <v>242</v>
      </c>
      <c r="B38" s="33" t="s">
        <v>416</v>
      </c>
      <c r="C38" s="33" t="s">
        <v>508</v>
      </c>
      <c r="D38" s="33" t="s">
        <v>82</v>
      </c>
      <c r="E38" s="33" t="s">
        <v>83</v>
      </c>
      <c r="F38" s="33" t="s">
        <v>509</v>
      </c>
      <c r="G38" s="33" t="s">
        <v>470</v>
      </c>
      <c r="H38" s="33" t="s">
        <v>464</v>
      </c>
    </row>
    <row r="39" customFormat="false" ht="36" hidden="false" customHeight="true" outlineLevel="0" collapsed="false">
      <c r="A39" s="28" t="s">
        <v>252</v>
      </c>
      <c r="B39" s="29" t="s">
        <v>400</v>
      </c>
      <c r="C39" s="29" t="s">
        <v>510</v>
      </c>
      <c r="D39" s="29" t="s">
        <v>94</v>
      </c>
      <c r="E39" s="29" t="s">
        <v>95</v>
      </c>
      <c r="F39" s="29" t="s">
        <v>511</v>
      </c>
      <c r="G39" s="29" t="s">
        <v>467</v>
      </c>
      <c r="H39" s="29" t="s">
        <v>464</v>
      </c>
    </row>
    <row r="40" customFormat="false" ht="36" hidden="false" customHeight="true" outlineLevel="0" collapsed="false">
      <c r="A40" s="28" t="s">
        <v>252</v>
      </c>
      <c r="B40" s="29" t="s">
        <v>406</v>
      </c>
      <c r="C40" s="29" t="s">
        <v>512</v>
      </c>
      <c r="D40" s="29" t="s">
        <v>100</v>
      </c>
      <c r="E40" s="29" t="s">
        <v>101</v>
      </c>
      <c r="F40" s="29" t="s">
        <v>513</v>
      </c>
      <c r="G40" s="29" t="s">
        <v>486</v>
      </c>
      <c r="H40" s="29" t="s">
        <v>464</v>
      </c>
    </row>
    <row r="41" customFormat="false" ht="36" hidden="false" customHeight="true" outlineLevel="0" collapsed="false">
      <c r="A41" s="28" t="s">
        <v>252</v>
      </c>
      <c r="B41" s="29" t="s">
        <v>411</v>
      </c>
      <c r="C41" s="29" t="s">
        <v>514</v>
      </c>
      <c r="D41" s="29" t="s">
        <v>106</v>
      </c>
      <c r="E41" s="29" t="s">
        <v>107</v>
      </c>
      <c r="F41" s="29" t="s">
        <v>515</v>
      </c>
      <c r="G41" s="29" t="s">
        <v>478</v>
      </c>
      <c r="H41" s="29" t="s">
        <v>464</v>
      </c>
    </row>
    <row r="42" customFormat="false" ht="36" hidden="false" customHeight="true" outlineLevel="0" collapsed="false">
      <c r="A42" s="28" t="s">
        <v>252</v>
      </c>
      <c r="B42" s="29" t="s">
        <v>416</v>
      </c>
      <c r="C42" s="29" t="s">
        <v>516</v>
      </c>
      <c r="D42" s="29" t="s">
        <v>118</v>
      </c>
      <c r="E42" s="29" t="s">
        <v>119</v>
      </c>
      <c r="F42" s="29" t="s">
        <v>517</v>
      </c>
      <c r="G42" s="29" t="s">
        <v>502</v>
      </c>
      <c r="H42" s="29" t="s">
        <v>464</v>
      </c>
    </row>
    <row r="43" customFormat="false" ht="36" hidden="false" customHeight="true" outlineLevel="0" collapsed="false">
      <c r="A43" s="32" t="s">
        <v>262</v>
      </c>
      <c r="B43" s="33" t="s">
        <v>400</v>
      </c>
      <c r="C43" s="33" t="s">
        <v>518</v>
      </c>
      <c r="D43" s="33" t="s">
        <v>82</v>
      </c>
      <c r="E43" s="33" t="s">
        <v>83</v>
      </c>
      <c r="F43" s="33" t="s">
        <v>519</v>
      </c>
      <c r="G43" s="33" t="s">
        <v>470</v>
      </c>
      <c r="H43" s="33" t="s">
        <v>464</v>
      </c>
    </row>
    <row r="44" customFormat="false" ht="36" hidden="false" customHeight="true" outlineLevel="0" collapsed="false">
      <c r="A44" s="32" t="s">
        <v>262</v>
      </c>
      <c r="B44" s="33" t="s">
        <v>406</v>
      </c>
      <c r="C44" s="33" t="s">
        <v>520</v>
      </c>
      <c r="D44" s="33" t="s">
        <v>76</v>
      </c>
      <c r="E44" s="33" t="s">
        <v>77</v>
      </c>
      <c r="F44" s="33" t="s">
        <v>521</v>
      </c>
      <c r="G44" s="33" t="s">
        <v>463</v>
      </c>
      <c r="H44" s="33" t="s">
        <v>464</v>
      </c>
    </row>
    <row r="45" customFormat="false" ht="36" hidden="false" customHeight="true" outlineLevel="0" collapsed="false">
      <c r="A45" s="32" t="s">
        <v>262</v>
      </c>
      <c r="B45" s="33" t="s">
        <v>411</v>
      </c>
      <c r="C45" s="33" t="s">
        <v>522</v>
      </c>
      <c r="D45" s="33" t="s">
        <v>106</v>
      </c>
      <c r="E45" s="33" t="s">
        <v>107</v>
      </c>
      <c r="F45" s="33" t="s">
        <v>523</v>
      </c>
      <c r="G45" s="33" t="s">
        <v>478</v>
      </c>
      <c r="H45" s="33" t="s">
        <v>464</v>
      </c>
    </row>
    <row r="46" customFormat="false" ht="36" hidden="false" customHeight="true" outlineLevel="0" collapsed="false">
      <c r="A46" s="32" t="s">
        <v>262</v>
      </c>
      <c r="B46" s="33" t="s">
        <v>416</v>
      </c>
      <c r="C46" s="33" t="s">
        <v>524</v>
      </c>
      <c r="D46" s="33" t="s">
        <v>112</v>
      </c>
      <c r="E46" s="33" t="s">
        <v>113</v>
      </c>
      <c r="F46" s="33" t="s">
        <v>525</v>
      </c>
      <c r="G46" s="33" t="s">
        <v>483</v>
      </c>
      <c r="H46" s="33" t="s">
        <v>464</v>
      </c>
    </row>
    <row r="47" customFormat="false" ht="36" hidden="false" customHeight="true" outlineLevel="0" collapsed="false">
      <c r="A47" s="28" t="s">
        <v>273</v>
      </c>
      <c r="B47" s="29" t="s">
        <v>400</v>
      </c>
      <c r="C47" s="29" t="s">
        <v>526</v>
      </c>
      <c r="D47" s="29" t="s">
        <v>100</v>
      </c>
      <c r="E47" s="29" t="s">
        <v>101</v>
      </c>
      <c r="F47" s="29" t="s">
        <v>527</v>
      </c>
      <c r="G47" s="29" t="s">
        <v>486</v>
      </c>
      <c r="H47" s="29" t="s">
        <v>464</v>
      </c>
    </row>
    <row r="48" customFormat="false" ht="36" hidden="false" customHeight="true" outlineLevel="0" collapsed="false">
      <c r="A48" s="28" t="s">
        <v>273</v>
      </c>
      <c r="B48" s="29" t="s">
        <v>406</v>
      </c>
      <c r="C48" s="29" t="s">
        <v>528</v>
      </c>
      <c r="D48" s="29" t="s">
        <v>112</v>
      </c>
      <c r="E48" s="29" t="s">
        <v>113</v>
      </c>
      <c r="F48" s="29" t="s">
        <v>529</v>
      </c>
      <c r="G48" s="29" t="s">
        <v>483</v>
      </c>
      <c r="H48" s="29" t="s">
        <v>464</v>
      </c>
    </row>
    <row r="49" customFormat="false" ht="36" hidden="false" customHeight="true" outlineLevel="0" collapsed="false">
      <c r="A49" s="28" t="s">
        <v>273</v>
      </c>
      <c r="B49" s="29" t="s">
        <v>411</v>
      </c>
      <c r="C49" s="29" t="s">
        <v>530</v>
      </c>
      <c r="D49" s="29" t="s">
        <v>106</v>
      </c>
      <c r="E49" s="29" t="s">
        <v>107</v>
      </c>
      <c r="F49" s="29" t="s">
        <v>531</v>
      </c>
      <c r="G49" s="29" t="s">
        <v>478</v>
      </c>
      <c r="H49" s="29" t="s">
        <v>464</v>
      </c>
    </row>
    <row r="50" customFormat="false" ht="36" hidden="false" customHeight="true" outlineLevel="0" collapsed="false">
      <c r="A50" s="28" t="s">
        <v>273</v>
      </c>
      <c r="B50" s="29" t="s">
        <v>416</v>
      </c>
      <c r="C50" s="29" t="s">
        <v>532</v>
      </c>
      <c r="D50" s="29" t="s">
        <v>94</v>
      </c>
      <c r="E50" s="29" t="s">
        <v>95</v>
      </c>
      <c r="F50" s="29" t="s">
        <v>533</v>
      </c>
      <c r="G50" s="29" t="s">
        <v>467</v>
      </c>
      <c r="H50" s="29" t="s">
        <v>464</v>
      </c>
    </row>
    <row r="51" customFormat="false" ht="36" hidden="false" customHeight="true" outlineLevel="0" collapsed="false">
      <c r="A51" s="32" t="s">
        <v>283</v>
      </c>
      <c r="B51" s="33" t="s">
        <v>400</v>
      </c>
      <c r="C51" s="33" t="s">
        <v>534</v>
      </c>
      <c r="D51" s="33" t="s">
        <v>76</v>
      </c>
      <c r="E51" s="33" t="s">
        <v>77</v>
      </c>
      <c r="F51" s="33" t="s">
        <v>535</v>
      </c>
      <c r="G51" s="33" t="s">
        <v>463</v>
      </c>
      <c r="H51" s="33" t="s">
        <v>464</v>
      </c>
    </row>
    <row r="52" customFormat="false" ht="36" hidden="false" customHeight="true" outlineLevel="0" collapsed="false">
      <c r="A52" s="32" t="s">
        <v>283</v>
      </c>
      <c r="B52" s="33" t="s">
        <v>406</v>
      </c>
      <c r="C52" s="33" t="s">
        <v>536</v>
      </c>
      <c r="D52" s="33" t="s">
        <v>82</v>
      </c>
      <c r="E52" s="33" t="s">
        <v>83</v>
      </c>
      <c r="F52" s="33" t="s">
        <v>537</v>
      </c>
      <c r="G52" s="33" t="s">
        <v>470</v>
      </c>
      <c r="H52" s="33" t="s">
        <v>464</v>
      </c>
    </row>
    <row r="53" customFormat="false" ht="36" hidden="false" customHeight="true" outlineLevel="0" collapsed="false">
      <c r="A53" s="32" t="s">
        <v>283</v>
      </c>
      <c r="B53" s="33" t="s">
        <v>411</v>
      </c>
      <c r="C53" s="33" t="s">
        <v>538</v>
      </c>
      <c r="D53" s="33" t="s">
        <v>94</v>
      </c>
      <c r="E53" s="33" t="s">
        <v>95</v>
      </c>
      <c r="F53" s="33" t="s">
        <v>539</v>
      </c>
      <c r="G53" s="33" t="s">
        <v>467</v>
      </c>
      <c r="H53" s="33" t="s">
        <v>464</v>
      </c>
    </row>
    <row r="54" customFormat="false" ht="36" hidden="false" customHeight="true" outlineLevel="0" collapsed="false">
      <c r="A54" s="32" t="s">
        <v>283</v>
      </c>
      <c r="B54" s="33" t="s">
        <v>416</v>
      </c>
      <c r="C54" s="33" t="s">
        <v>540</v>
      </c>
      <c r="D54" s="33" t="s">
        <v>124</v>
      </c>
      <c r="E54" s="33" t="s">
        <v>125</v>
      </c>
      <c r="F54" s="33" t="s">
        <v>541</v>
      </c>
      <c r="G54" s="33" t="s">
        <v>473</v>
      </c>
      <c r="H54" s="33" t="s">
        <v>464</v>
      </c>
    </row>
    <row r="55" customFormat="false" ht="36" hidden="false" customHeight="true" outlineLevel="0" collapsed="false">
      <c r="A55" s="28" t="s">
        <v>293</v>
      </c>
      <c r="B55" s="29" t="s">
        <v>400</v>
      </c>
      <c r="C55" s="29" t="s">
        <v>542</v>
      </c>
      <c r="D55" s="29" t="s">
        <v>106</v>
      </c>
      <c r="E55" s="29" t="s">
        <v>107</v>
      </c>
      <c r="F55" s="29" t="s">
        <v>543</v>
      </c>
      <c r="G55" s="29" t="s">
        <v>478</v>
      </c>
      <c r="H55" s="29" t="s">
        <v>464</v>
      </c>
    </row>
    <row r="56" customFormat="false" ht="36" hidden="false" customHeight="true" outlineLevel="0" collapsed="false">
      <c r="A56" s="28" t="s">
        <v>293</v>
      </c>
      <c r="B56" s="29" t="s">
        <v>406</v>
      </c>
      <c r="C56" s="29" t="s">
        <v>544</v>
      </c>
      <c r="D56" s="29" t="s">
        <v>88</v>
      </c>
      <c r="E56" s="29" t="s">
        <v>89</v>
      </c>
      <c r="F56" s="29" t="s">
        <v>545</v>
      </c>
      <c r="G56" s="29" t="s">
        <v>493</v>
      </c>
      <c r="H56" s="29" t="s">
        <v>464</v>
      </c>
    </row>
    <row r="57" customFormat="false" ht="36" hidden="false" customHeight="true" outlineLevel="0" collapsed="false">
      <c r="A57" s="28" t="s">
        <v>293</v>
      </c>
      <c r="B57" s="29" t="s">
        <v>411</v>
      </c>
      <c r="C57" s="29" t="s">
        <v>546</v>
      </c>
      <c r="D57" s="29" t="s">
        <v>94</v>
      </c>
      <c r="E57" s="29" t="s">
        <v>95</v>
      </c>
      <c r="F57" s="29" t="s">
        <v>547</v>
      </c>
      <c r="G57" s="29" t="s">
        <v>467</v>
      </c>
      <c r="H57" s="29" t="s">
        <v>464</v>
      </c>
    </row>
    <row r="58" customFormat="false" ht="36" hidden="false" customHeight="true" outlineLevel="0" collapsed="false">
      <c r="A58" s="28" t="s">
        <v>293</v>
      </c>
      <c r="B58" s="29" t="s">
        <v>416</v>
      </c>
      <c r="C58" s="29" t="s">
        <v>548</v>
      </c>
      <c r="D58" s="29" t="s">
        <v>112</v>
      </c>
      <c r="E58" s="29" t="s">
        <v>113</v>
      </c>
      <c r="F58" s="29" t="s">
        <v>549</v>
      </c>
      <c r="G58" s="29" t="s">
        <v>483</v>
      </c>
      <c r="H58" s="29" t="s">
        <v>464</v>
      </c>
    </row>
    <row r="59" customFormat="false" ht="36" hidden="false" customHeight="true" outlineLevel="0" collapsed="false">
      <c r="A59" s="32" t="s">
        <v>302</v>
      </c>
      <c r="B59" s="33" t="s">
        <v>400</v>
      </c>
      <c r="C59" s="33" t="s">
        <v>550</v>
      </c>
      <c r="D59" s="33" t="s">
        <v>100</v>
      </c>
      <c r="E59" s="33" t="s">
        <v>101</v>
      </c>
      <c r="F59" s="33" t="s">
        <v>551</v>
      </c>
      <c r="G59" s="33" t="s">
        <v>486</v>
      </c>
      <c r="H59" s="33" t="s">
        <v>464</v>
      </c>
    </row>
    <row r="60" customFormat="false" ht="36" hidden="false" customHeight="true" outlineLevel="0" collapsed="false">
      <c r="A60" s="32" t="s">
        <v>302</v>
      </c>
      <c r="B60" s="33" t="s">
        <v>406</v>
      </c>
      <c r="C60" s="33" t="s">
        <v>552</v>
      </c>
      <c r="D60" s="33" t="s">
        <v>94</v>
      </c>
      <c r="E60" s="33" t="s">
        <v>95</v>
      </c>
      <c r="F60" s="33" t="s">
        <v>553</v>
      </c>
      <c r="G60" s="33" t="s">
        <v>467</v>
      </c>
      <c r="H60" s="33" t="s">
        <v>464</v>
      </c>
    </row>
    <row r="61" customFormat="false" ht="36" hidden="false" customHeight="true" outlineLevel="0" collapsed="false">
      <c r="A61" s="32" t="s">
        <v>302</v>
      </c>
      <c r="B61" s="33" t="s">
        <v>411</v>
      </c>
      <c r="C61" s="33" t="s">
        <v>554</v>
      </c>
      <c r="D61" s="33" t="s">
        <v>118</v>
      </c>
      <c r="E61" s="33" t="s">
        <v>119</v>
      </c>
      <c r="F61" s="33" t="s">
        <v>555</v>
      </c>
      <c r="G61" s="33" t="s">
        <v>502</v>
      </c>
      <c r="H61" s="33" t="s">
        <v>464</v>
      </c>
    </row>
    <row r="62" customFormat="false" ht="36" hidden="false" customHeight="true" outlineLevel="0" collapsed="false">
      <c r="A62" s="32" t="s">
        <v>302</v>
      </c>
      <c r="B62" s="33" t="s">
        <v>416</v>
      </c>
      <c r="C62" s="33" t="s">
        <v>556</v>
      </c>
      <c r="D62" s="33" t="s">
        <v>112</v>
      </c>
      <c r="E62" s="33" t="s">
        <v>113</v>
      </c>
      <c r="F62" s="33" t="s">
        <v>557</v>
      </c>
      <c r="G62" s="33" t="s">
        <v>483</v>
      </c>
      <c r="H62" s="33" t="s">
        <v>464</v>
      </c>
    </row>
    <row r="63" customFormat="false" ht="36" hidden="false" customHeight="true" outlineLevel="0" collapsed="false">
      <c r="A63" s="28" t="s">
        <v>312</v>
      </c>
      <c r="B63" s="29" t="s">
        <v>400</v>
      </c>
      <c r="C63" s="29" t="s">
        <v>558</v>
      </c>
      <c r="D63" s="29" t="s">
        <v>76</v>
      </c>
      <c r="E63" s="29" t="s">
        <v>77</v>
      </c>
      <c r="F63" s="29" t="s">
        <v>559</v>
      </c>
      <c r="G63" s="29" t="s">
        <v>463</v>
      </c>
      <c r="H63" s="29" t="s">
        <v>464</v>
      </c>
    </row>
    <row r="64" customFormat="false" ht="36" hidden="false" customHeight="true" outlineLevel="0" collapsed="false">
      <c r="A64" s="28" t="s">
        <v>312</v>
      </c>
      <c r="B64" s="29" t="s">
        <v>406</v>
      </c>
      <c r="C64" s="29" t="s">
        <v>560</v>
      </c>
      <c r="D64" s="29" t="s">
        <v>88</v>
      </c>
      <c r="E64" s="29" t="s">
        <v>89</v>
      </c>
      <c r="F64" s="29" t="s">
        <v>561</v>
      </c>
      <c r="G64" s="29" t="s">
        <v>493</v>
      </c>
      <c r="H64" s="29" t="s">
        <v>464</v>
      </c>
    </row>
    <row r="65" customFormat="false" ht="36" hidden="false" customHeight="true" outlineLevel="0" collapsed="false">
      <c r="A65" s="28" t="s">
        <v>312</v>
      </c>
      <c r="B65" s="29" t="s">
        <v>411</v>
      </c>
      <c r="C65" s="29" t="s">
        <v>562</v>
      </c>
      <c r="D65" s="29" t="s">
        <v>82</v>
      </c>
      <c r="E65" s="29" t="s">
        <v>83</v>
      </c>
      <c r="F65" s="29" t="s">
        <v>563</v>
      </c>
      <c r="G65" s="29" t="s">
        <v>470</v>
      </c>
      <c r="H65" s="29" t="s">
        <v>464</v>
      </c>
    </row>
    <row r="66" customFormat="false" ht="36" hidden="false" customHeight="true" outlineLevel="0" collapsed="false">
      <c r="A66" s="28" t="s">
        <v>312</v>
      </c>
      <c r="B66" s="29" t="s">
        <v>416</v>
      </c>
      <c r="C66" s="29" t="s">
        <v>564</v>
      </c>
      <c r="D66" s="29" t="s">
        <v>124</v>
      </c>
      <c r="E66" s="29" t="s">
        <v>125</v>
      </c>
      <c r="F66" s="29" t="s">
        <v>565</v>
      </c>
      <c r="G66" s="29" t="s">
        <v>473</v>
      </c>
      <c r="H66" s="29" t="s">
        <v>464</v>
      </c>
    </row>
    <row r="67" customFormat="false" ht="36" hidden="false" customHeight="true" outlineLevel="0" collapsed="false">
      <c r="A67" s="32" t="s">
        <v>322</v>
      </c>
      <c r="B67" s="33" t="s">
        <v>400</v>
      </c>
      <c r="C67" s="33" t="s">
        <v>566</v>
      </c>
      <c r="D67" s="33" t="s">
        <v>118</v>
      </c>
      <c r="E67" s="33" t="s">
        <v>119</v>
      </c>
      <c r="F67" s="33" t="s">
        <v>567</v>
      </c>
      <c r="G67" s="33" t="s">
        <v>502</v>
      </c>
      <c r="H67" s="33" t="s">
        <v>464</v>
      </c>
    </row>
    <row r="68" customFormat="false" ht="36" hidden="false" customHeight="true" outlineLevel="0" collapsed="false">
      <c r="A68" s="32" t="s">
        <v>322</v>
      </c>
      <c r="B68" s="33" t="s">
        <v>406</v>
      </c>
      <c r="C68" s="33" t="s">
        <v>568</v>
      </c>
      <c r="D68" s="33" t="s">
        <v>94</v>
      </c>
      <c r="E68" s="33" t="s">
        <v>95</v>
      </c>
      <c r="F68" s="33" t="s">
        <v>569</v>
      </c>
      <c r="G68" s="33" t="s">
        <v>467</v>
      </c>
      <c r="H68" s="33" t="s">
        <v>464</v>
      </c>
    </row>
    <row r="69" customFormat="false" ht="36" hidden="false" customHeight="true" outlineLevel="0" collapsed="false">
      <c r="A69" s="32" t="s">
        <v>322</v>
      </c>
      <c r="B69" s="33" t="s">
        <v>411</v>
      </c>
      <c r="C69" s="33" t="s">
        <v>570</v>
      </c>
      <c r="D69" s="33" t="s">
        <v>76</v>
      </c>
      <c r="E69" s="33" t="s">
        <v>77</v>
      </c>
      <c r="F69" s="33" t="s">
        <v>571</v>
      </c>
      <c r="G69" s="33" t="s">
        <v>463</v>
      </c>
      <c r="H69" s="33" t="s">
        <v>464</v>
      </c>
    </row>
    <row r="70" customFormat="false" ht="36" hidden="false" customHeight="true" outlineLevel="0" collapsed="false">
      <c r="A70" s="32" t="s">
        <v>322</v>
      </c>
      <c r="B70" s="33" t="s">
        <v>416</v>
      </c>
      <c r="C70" s="33" t="s">
        <v>572</v>
      </c>
      <c r="D70" s="33" t="s">
        <v>82</v>
      </c>
      <c r="E70" s="33" t="s">
        <v>83</v>
      </c>
      <c r="F70" s="33" t="s">
        <v>573</v>
      </c>
      <c r="G70" s="33" t="s">
        <v>470</v>
      </c>
      <c r="H70" s="33" t="s">
        <v>464</v>
      </c>
    </row>
    <row r="71" customFormat="false" ht="36" hidden="false" customHeight="true" outlineLevel="0" collapsed="false">
      <c r="A71" s="28" t="s">
        <v>332</v>
      </c>
      <c r="B71" s="29" t="s">
        <v>400</v>
      </c>
      <c r="C71" s="29" t="s">
        <v>574</v>
      </c>
      <c r="D71" s="29" t="s">
        <v>76</v>
      </c>
      <c r="E71" s="29" t="s">
        <v>77</v>
      </c>
      <c r="F71" s="29" t="s">
        <v>575</v>
      </c>
      <c r="G71" s="29" t="s">
        <v>463</v>
      </c>
      <c r="H71" s="29" t="s">
        <v>464</v>
      </c>
    </row>
    <row r="72" customFormat="false" ht="36" hidden="false" customHeight="true" outlineLevel="0" collapsed="false">
      <c r="A72" s="28" t="s">
        <v>332</v>
      </c>
      <c r="B72" s="29" t="s">
        <v>406</v>
      </c>
      <c r="C72" s="29" t="s">
        <v>576</v>
      </c>
      <c r="D72" s="29" t="s">
        <v>106</v>
      </c>
      <c r="E72" s="29" t="s">
        <v>107</v>
      </c>
      <c r="F72" s="29" t="s">
        <v>577</v>
      </c>
      <c r="G72" s="29" t="s">
        <v>478</v>
      </c>
      <c r="H72" s="29" t="s">
        <v>464</v>
      </c>
    </row>
    <row r="73" customFormat="false" ht="36" hidden="false" customHeight="true" outlineLevel="0" collapsed="false">
      <c r="A73" s="28" t="s">
        <v>332</v>
      </c>
      <c r="B73" s="29" t="s">
        <v>411</v>
      </c>
      <c r="C73" s="29" t="s">
        <v>578</v>
      </c>
      <c r="D73" s="29" t="s">
        <v>82</v>
      </c>
      <c r="E73" s="29" t="s">
        <v>83</v>
      </c>
      <c r="F73" s="29" t="s">
        <v>579</v>
      </c>
      <c r="G73" s="29" t="s">
        <v>470</v>
      </c>
      <c r="H73" s="29" t="s">
        <v>464</v>
      </c>
    </row>
    <row r="74" customFormat="false" ht="36" hidden="false" customHeight="true" outlineLevel="0" collapsed="false">
      <c r="A74" s="28" t="s">
        <v>332</v>
      </c>
      <c r="B74" s="29" t="s">
        <v>416</v>
      </c>
      <c r="C74" s="29" t="s">
        <v>580</v>
      </c>
      <c r="D74" s="29" t="s">
        <v>112</v>
      </c>
      <c r="E74" s="29" t="s">
        <v>113</v>
      </c>
      <c r="F74" s="29" t="s">
        <v>581</v>
      </c>
      <c r="G74" s="29" t="s">
        <v>483</v>
      </c>
      <c r="H74" s="29" t="s">
        <v>464</v>
      </c>
    </row>
    <row r="75" customFormat="false" ht="36" hidden="false" customHeight="true" outlineLevel="0" collapsed="false">
      <c r="A75" s="32" t="s">
        <v>342</v>
      </c>
      <c r="B75" s="33" t="s">
        <v>400</v>
      </c>
      <c r="C75" s="33" t="s">
        <v>582</v>
      </c>
      <c r="D75" s="33" t="s">
        <v>100</v>
      </c>
      <c r="E75" s="33" t="s">
        <v>101</v>
      </c>
      <c r="F75" s="33" t="s">
        <v>583</v>
      </c>
      <c r="G75" s="33" t="s">
        <v>486</v>
      </c>
      <c r="H75" s="33" t="s">
        <v>464</v>
      </c>
    </row>
    <row r="76" customFormat="false" ht="36" hidden="false" customHeight="true" outlineLevel="0" collapsed="false">
      <c r="A76" s="32" t="s">
        <v>342</v>
      </c>
      <c r="B76" s="33" t="s">
        <v>406</v>
      </c>
      <c r="C76" s="33" t="s">
        <v>584</v>
      </c>
      <c r="D76" s="33" t="s">
        <v>94</v>
      </c>
      <c r="E76" s="33" t="s">
        <v>95</v>
      </c>
      <c r="F76" s="33" t="s">
        <v>585</v>
      </c>
      <c r="G76" s="33" t="s">
        <v>467</v>
      </c>
      <c r="H76" s="33" t="s">
        <v>464</v>
      </c>
    </row>
    <row r="77" customFormat="false" ht="36" hidden="false" customHeight="true" outlineLevel="0" collapsed="false">
      <c r="A77" s="32" t="s">
        <v>342</v>
      </c>
      <c r="B77" s="33" t="s">
        <v>411</v>
      </c>
      <c r="C77" s="33" t="s">
        <v>586</v>
      </c>
      <c r="D77" s="33" t="s">
        <v>88</v>
      </c>
      <c r="E77" s="33" t="s">
        <v>89</v>
      </c>
      <c r="F77" s="33" t="s">
        <v>587</v>
      </c>
      <c r="G77" s="33" t="s">
        <v>493</v>
      </c>
      <c r="H77" s="33" t="s">
        <v>464</v>
      </c>
    </row>
    <row r="78" customFormat="false" ht="36" hidden="false" customHeight="true" outlineLevel="0" collapsed="false">
      <c r="A78" s="32" t="s">
        <v>342</v>
      </c>
      <c r="B78" s="33" t="s">
        <v>416</v>
      </c>
      <c r="C78" s="33" t="s">
        <v>588</v>
      </c>
      <c r="D78" s="33" t="s">
        <v>76</v>
      </c>
      <c r="E78" s="33" t="s">
        <v>77</v>
      </c>
      <c r="F78" s="33" t="s">
        <v>589</v>
      </c>
      <c r="G78" s="33" t="s">
        <v>463</v>
      </c>
      <c r="H78" s="33" t="s">
        <v>464</v>
      </c>
    </row>
    <row r="79" customFormat="false" ht="36" hidden="false" customHeight="true" outlineLevel="0" collapsed="false">
      <c r="A79" s="28" t="s">
        <v>352</v>
      </c>
      <c r="B79" s="29" t="s">
        <v>400</v>
      </c>
      <c r="C79" s="29" t="s">
        <v>590</v>
      </c>
      <c r="D79" s="29" t="s">
        <v>94</v>
      </c>
      <c r="E79" s="29" t="s">
        <v>95</v>
      </c>
      <c r="F79" s="29" t="s">
        <v>591</v>
      </c>
      <c r="G79" s="29" t="s">
        <v>467</v>
      </c>
      <c r="H79" s="29" t="s">
        <v>464</v>
      </c>
    </row>
    <row r="80" customFormat="false" ht="36" hidden="false" customHeight="true" outlineLevel="0" collapsed="false">
      <c r="A80" s="28" t="s">
        <v>352</v>
      </c>
      <c r="B80" s="29" t="s">
        <v>406</v>
      </c>
      <c r="C80" s="29" t="s">
        <v>592</v>
      </c>
      <c r="D80" s="29" t="s">
        <v>106</v>
      </c>
      <c r="E80" s="29" t="s">
        <v>107</v>
      </c>
      <c r="F80" s="29" t="s">
        <v>593</v>
      </c>
      <c r="G80" s="29" t="s">
        <v>478</v>
      </c>
      <c r="H80" s="29" t="s">
        <v>464</v>
      </c>
    </row>
    <row r="81" customFormat="false" ht="36" hidden="false" customHeight="true" outlineLevel="0" collapsed="false">
      <c r="A81" s="28" t="s">
        <v>352</v>
      </c>
      <c r="B81" s="29" t="s">
        <v>411</v>
      </c>
      <c r="C81" s="29" t="s">
        <v>594</v>
      </c>
      <c r="D81" s="29" t="s">
        <v>118</v>
      </c>
      <c r="E81" s="29" t="s">
        <v>119</v>
      </c>
      <c r="F81" s="29" t="s">
        <v>595</v>
      </c>
      <c r="G81" s="29" t="s">
        <v>502</v>
      </c>
      <c r="H81" s="29" t="s">
        <v>464</v>
      </c>
    </row>
    <row r="82" customFormat="false" ht="36" hidden="false" customHeight="true" outlineLevel="0" collapsed="false">
      <c r="A82" s="28" t="s">
        <v>352</v>
      </c>
      <c r="B82" s="29" t="s">
        <v>416</v>
      </c>
      <c r="C82" s="29" t="s">
        <v>596</v>
      </c>
      <c r="D82" s="29" t="s">
        <v>124</v>
      </c>
      <c r="E82" s="29" t="s">
        <v>125</v>
      </c>
      <c r="F82" s="29" t="s">
        <v>597</v>
      </c>
      <c r="G82" s="29" t="s">
        <v>473</v>
      </c>
      <c r="H82" s="29" t="s">
        <v>464</v>
      </c>
    </row>
    <row r="83" customFormat="false" ht="36" hidden="false" customHeight="true" outlineLevel="0" collapsed="false">
      <c r="A83" s="32" t="s">
        <v>363</v>
      </c>
      <c r="B83" s="33" t="s">
        <v>400</v>
      </c>
      <c r="C83" s="33" t="s">
        <v>598</v>
      </c>
      <c r="D83" s="33" t="s">
        <v>94</v>
      </c>
      <c r="E83" s="33" t="s">
        <v>95</v>
      </c>
      <c r="F83" s="33" t="s">
        <v>599</v>
      </c>
      <c r="G83" s="33" t="s">
        <v>467</v>
      </c>
      <c r="H83" s="33" t="s">
        <v>464</v>
      </c>
    </row>
    <row r="84" customFormat="false" ht="36" hidden="false" customHeight="true" outlineLevel="0" collapsed="false">
      <c r="A84" s="32" t="s">
        <v>363</v>
      </c>
      <c r="B84" s="33" t="s">
        <v>406</v>
      </c>
      <c r="C84" s="33" t="s">
        <v>600</v>
      </c>
      <c r="D84" s="33" t="s">
        <v>88</v>
      </c>
      <c r="E84" s="33" t="s">
        <v>89</v>
      </c>
      <c r="F84" s="33" t="s">
        <v>601</v>
      </c>
      <c r="G84" s="33" t="s">
        <v>493</v>
      </c>
      <c r="H84" s="33" t="s">
        <v>464</v>
      </c>
    </row>
    <row r="85" customFormat="false" ht="36" hidden="false" customHeight="true" outlineLevel="0" collapsed="false">
      <c r="A85" s="32" t="s">
        <v>363</v>
      </c>
      <c r="B85" s="33" t="s">
        <v>411</v>
      </c>
      <c r="C85" s="33" t="s">
        <v>602</v>
      </c>
      <c r="D85" s="33" t="s">
        <v>82</v>
      </c>
      <c r="E85" s="33" t="s">
        <v>83</v>
      </c>
      <c r="F85" s="33" t="s">
        <v>603</v>
      </c>
      <c r="G85" s="33" t="s">
        <v>470</v>
      </c>
      <c r="H85" s="33" t="s">
        <v>464</v>
      </c>
    </row>
    <row r="86" customFormat="false" ht="36" hidden="false" customHeight="true" outlineLevel="0" collapsed="false">
      <c r="A86" s="32" t="s">
        <v>363</v>
      </c>
      <c r="B86" s="33" t="s">
        <v>416</v>
      </c>
      <c r="C86" s="33" t="s">
        <v>604</v>
      </c>
      <c r="D86" s="33" t="s">
        <v>106</v>
      </c>
      <c r="E86" s="33" t="s">
        <v>107</v>
      </c>
      <c r="F86" s="33" t="s">
        <v>605</v>
      </c>
      <c r="G86" s="33" t="s">
        <v>478</v>
      </c>
      <c r="H86" s="33" t="s">
        <v>464</v>
      </c>
    </row>
    <row r="87" customFormat="false" ht="36" hidden="false" customHeight="true" outlineLevel="0" collapsed="false">
      <c r="A87" s="28" t="s">
        <v>374</v>
      </c>
      <c r="B87" s="29" t="s">
        <v>400</v>
      </c>
      <c r="C87" s="29" t="s">
        <v>606</v>
      </c>
      <c r="D87" s="29" t="s">
        <v>76</v>
      </c>
      <c r="E87" s="29" t="s">
        <v>77</v>
      </c>
      <c r="F87" s="29" t="s">
        <v>607</v>
      </c>
      <c r="G87" s="29" t="s">
        <v>463</v>
      </c>
      <c r="H87" s="29" t="s">
        <v>464</v>
      </c>
    </row>
    <row r="88" customFormat="false" ht="36" hidden="false" customHeight="true" outlineLevel="0" collapsed="false">
      <c r="A88" s="28" t="s">
        <v>374</v>
      </c>
      <c r="B88" s="29" t="s">
        <v>406</v>
      </c>
      <c r="C88" s="29" t="s">
        <v>608</v>
      </c>
      <c r="D88" s="29" t="s">
        <v>82</v>
      </c>
      <c r="E88" s="29" t="s">
        <v>83</v>
      </c>
      <c r="F88" s="29" t="s">
        <v>609</v>
      </c>
      <c r="G88" s="29" t="s">
        <v>470</v>
      </c>
      <c r="H88" s="29" t="s">
        <v>464</v>
      </c>
    </row>
    <row r="89" customFormat="false" ht="36" hidden="false" customHeight="true" outlineLevel="0" collapsed="false">
      <c r="A89" s="28" t="s">
        <v>374</v>
      </c>
      <c r="B89" s="29" t="s">
        <v>411</v>
      </c>
      <c r="C89" s="29" t="s">
        <v>610</v>
      </c>
      <c r="D89" s="29" t="s">
        <v>124</v>
      </c>
      <c r="E89" s="29" t="s">
        <v>125</v>
      </c>
      <c r="F89" s="29" t="s">
        <v>611</v>
      </c>
      <c r="G89" s="29" t="s">
        <v>473</v>
      </c>
      <c r="H89" s="29" t="s">
        <v>464</v>
      </c>
    </row>
    <row r="90" customFormat="false" ht="36" hidden="false" customHeight="true" outlineLevel="0" collapsed="false">
      <c r="A90" s="28" t="s">
        <v>374</v>
      </c>
      <c r="B90" s="29" t="s">
        <v>416</v>
      </c>
      <c r="C90" s="29" t="s">
        <v>612</v>
      </c>
      <c r="D90" s="29" t="s">
        <v>112</v>
      </c>
      <c r="E90" s="29" t="s">
        <v>113</v>
      </c>
      <c r="F90" s="29" t="s">
        <v>613</v>
      </c>
      <c r="G90" s="29" t="s">
        <v>483</v>
      </c>
      <c r="H90" s="29" t="s">
        <v>464</v>
      </c>
    </row>
    <row r="91" customFormat="false" ht="23.25" hidden="false" customHeight="true" outlineLevel="0" collapsed="false">
      <c r="A91" s="14" t="s">
        <v>199</v>
      </c>
      <c r="B91" s="16" t="s">
        <v>614</v>
      </c>
      <c r="C91" s="16" t="s">
        <v>615</v>
      </c>
      <c r="D91" s="16" t="s">
        <v>210</v>
      </c>
      <c r="E91" s="16" t="s">
        <v>616</v>
      </c>
      <c r="F91" s="16" t="s">
        <v>617</v>
      </c>
      <c r="G91" s="16" t="s">
        <v>618</v>
      </c>
      <c r="H91" s="16" t="s">
        <v>619</v>
      </c>
    </row>
    <row r="92" customFormat="false" ht="23.25" hidden="false" customHeight="true" outlineLevel="0" collapsed="false">
      <c r="A92" s="17" t="s">
        <v>211</v>
      </c>
      <c r="B92" s="18" t="s">
        <v>614</v>
      </c>
      <c r="C92" s="18" t="s">
        <v>615</v>
      </c>
      <c r="D92" s="18" t="s">
        <v>210</v>
      </c>
      <c r="E92" s="18" t="s">
        <v>616</v>
      </c>
      <c r="F92" s="18" t="s">
        <v>617</v>
      </c>
      <c r="G92" s="18" t="s">
        <v>618</v>
      </c>
      <c r="H92" s="18" t="s">
        <v>619</v>
      </c>
    </row>
    <row r="93" customFormat="false" ht="23.25" hidden="false" customHeight="true" outlineLevel="0" collapsed="false">
      <c r="A93" s="14" t="s">
        <v>222</v>
      </c>
      <c r="B93" s="16" t="s">
        <v>614</v>
      </c>
      <c r="C93" s="16" t="s">
        <v>615</v>
      </c>
      <c r="D93" s="16" t="s">
        <v>210</v>
      </c>
      <c r="E93" s="16" t="s">
        <v>616</v>
      </c>
      <c r="F93" s="16" t="s">
        <v>617</v>
      </c>
      <c r="G93" s="16" t="s">
        <v>618</v>
      </c>
      <c r="H93" s="16" t="s">
        <v>619</v>
      </c>
    </row>
    <row r="94" customFormat="false" ht="23.25" hidden="false" customHeight="true" outlineLevel="0" collapsed="false">
      <c r="A94" s="17" t="s">
        <v>232</v>
      </c>
      <c r="B94" s="18" t="s">
        <v>614</v>
      </c>
      <c r="C94" s="18" t="s">
        <v>615</v>
      </c>
      <c r="D94" s="18" t="s">
        <v>210</v>
      </c>
      <c r="E94" s="18" t="s">
        <v>616</v>
      </c>
      <c r="F94" s="18" t="s">
        <v>617</v>
      </c>
      <c r="G94" s="18" t="s">
        <v>618</v>
      </c>
      <c r="H94" s="18" t="s">
        <v>619</v>
      </c>
    </row>
    <row r="95" customFormat="false" ht="23.25" hidden="false" customHeight="true" outlineLevel="0" collapsed="false">
      <c r="A95" s="14" t="s">
        <v>242</v>
      </c>
      <c r="B95" s="16" t="s">
        <v>614</v>
      </c>
      <c r="C95" s="16" t="s">
        <v>615</v>
      </c>
      <c r="D95" s="16" t="s">
        <v>210</v>
      </c>
      <c r="E95" s="16" t="s">
        <v>616</v>
      </c>
      <c r="F95" s="16" t="s">
        <v>617</v>
      </c>
      <c r="G95" s="16" t="s">
        <v>618</v>
      </c>
      <c r="H95" s="16" t="s">
        <v>619</v>
      </c>
    </row>
    <row r="96" customFormat="false" ht="23.25" hidden="false" customHeight="true" outlineLevel="0" collapsed="false">
      <c r="A96" s="17" t="s">
        <v>252</v>
      </c>
      <c r="B96" s="18" t="s">
        <v>614</v>
      </c>
      <c r="C96" s="18" t="s">
        <v>615</v>
      </c>
      <c r="D96" s="18" t="s">
        <v>210</v>
      </c>
      <c r="E96" s="18" t="s">
        <v>616</v>
      </c>
      <c r="F96" s="18" t="s">
        <v>617</v>
      </c>
      <c r="G96" s="18" t="s">
        <v>618</v>
      </c>
      <c r="H96" s="18" t="s">
        <v>619</v>
      </c>
    </row>
    <row r="97" customFormat="false" ht="23.25" hidden="false" customHeight="true" outlineLevel="0" collapsed="false">
      <c r="A97" s="14" t="s">
        <v>262</v>
      </c>
      <c r="B97" s="16" t="s">
        <v>614</v>
      </c>
      <c r="C97" s="16" t="s">
        <v>615</v>
      </c>
      <c r="D97" s="16" t="s">
        <v>210</v>
      </c>
      <c r="E97" s="16" t="s">
        <v>616</v>
      </c>
      <c r="F97" s="16" t="s">
        <v>617</v>
      </c>
      <c r="G97" s="16" t="s">
        <v>618</v>
      </c>
      <c r="H97" s="16" t="s">
        <v>619</v>
      </c>
    </row>
    <row r="98" customFormat="false" ht="23.25" hidden="false" customHeight="true" outlineLevel="0" collapsed="false">
      <c r="A98" s="17" t="s">
        <v>273</v>
      </c>
      <c r="B98" s="18" t="s">
        <v>614</v>
      </c>
      <c r="C98" s="18" t="s">
        <v>615</v>
      </c>
      <c r="D98" s="18" t="s">
        <v>210</v>
      </c>
      <c r="E98" s="18" t="s">
        <v>616</v>
      </c>
      <c r="F98" s="18" t="s">
        <v>617</v>
      </c>
      <c r="G98" s="18" t="s">
        <v>618</v>
      </c>
      <c r="H98" s="18" t="s">
        <v>619</v>
      </c>
    </row>
    <row r="99" customFormat="false" ht="23.25" hidden="false" customHeight="true" outlineLevel="0" collapsed="false">
      <c r="A99" s="14" t="s">
        <v>283</v>
      </c>
      <c r="B99" s="16" t="s">
        <v>614</v>
      </c>
      <c r="C99" s="16" t="s">
        <v>615</v>
      </c>
      <c r="D99" s="16" t="s">
        <v>210</v>
      </c>
      <c r="E99" s="16" t="s">
        <v>616</v>
      </c>
      <c r="F99" s="16" t="s">
        <v>617</v>
      </c>
      <c r="G99" s="16" t="s">
        <v>618</v>
      </c>
      <c r="H99" s="16" t="s">
        <v>619</v>
      </c>
    </row>
    <row r="100" customFormat="false" ht="23.25" hidden="false" customHeight="true" outlineLevel="0" collapsed="false">
      <c r="A100" s="17" t="s">
        <v>293</v>
      </c>
      <c r="B100" s="18" t="s">
        <v>614</v>
      </c>
      <c r="C100" s="18" t="s">
        <v>615</v>
      </c>
      <c r="D100" s="18" t="s">
        <v>210</v>
      </c>
      <c r="E100" s="18" t="s">
        <v>616</v>
      </c>
      <c r="F100" s="18" t="s">
        <v>617</v>
      </c>
      <c r="G100" s="18" t="s">
        <v>618</v>
      </c>
      <c r="H100" s="18" t="s">
        <v>619</v>
      </c>
    </row>
    <row r="101" customFormat="false" ht="23.25" hidden="false" customHeight="true" outlineLevel="0" collapsed="false">
      <c r="A101" s="14" t="s">
        <v>302</v>
      </c>
      <c r="B101" s="16" t="s">
        <v>614</v>
      </c>
      <c r="C101" s="16" t="s">
        <v>615</v>
      </c>
      <c r="D101" s="16" t="s">
        <v>210</v>
      </c>
      <c r="E101" s="16" t="s">
        <v>616</v>
      </c>
      <c r="F101" s="16" t="s">
        <v>617</v>
      </c>
      <c r="G101" s="16" t="s">
        <v>618</v>
      </c>
      <c r="H101" s="16" t="s">
        <v>619</v>
      </c>
    </row>
    <row r="102" customFormat="false" ht="23.25" hidden="false" customHeight="true" outlineLevel="0" collapsed="false">
      <c r="A102" s="17" t="s">
        <v>312</v>
      </c>
      <c r="B102" s="18" t="s">
        <v>614</v>
      </c>
      <c r="C102" s="18" t="s">
        <v>615</v>
      </c>
      <c r="D102" s="18" t="s">
        <v>210</v>
      </c>
      <c r="E102" s="18" t="s">
        <v>616</v>
      </c>
      <c r="F102" s="18" t="s">
        <v>617</v>
      </c>
      <c r="G102" s="18" t="s">
        <v>618</v>
      </c>
      <c r="H102" s="18" t="s">
        <v>619</v>
      </c>
    </row>
    <row r="103" customFormat="false" ht="23.25" hidden="false" customHeight="true" outlineLevel="0" collapsed="false">
      <c r="A103" s="14" t="s">
        <v>322</v>
      </c>
      <c r="B103" s="16" t="s">
        <v>614</v>
      </c>
      <c r="C103" s="16" t="s">
        <v>615</v>
      </c>
      <c r="D103" s="16" t="s">
        <v>210</v>
      </c>
      <c r="E103" s="16" t="s">
        <v>616</v>
      </c>
      <c r="F103" s="16" t="s">
        <v>617</v>
      </c>
      <c r="G103" s="16" t="s">
        <v>618</v>
      </c>
      <c r="H103" s="16" t="s">
        <v>619</v>
      </c>
    </row>
    <row r="104" customFormat="false" ht="23.25" hidden="false" customHeight="true" outlineLevel="0" collapsed="false">
      <c r="A104" s="17" t="s">
        <v>332</v>
      </c>
      <c r="B104" s="18" t="s">
        <v>614</v>
      </c>
      <c r="C104" s="18" t="s">
        <v>615</v>
      </c>
      <c r="D104" s="18" t="s">
        <v>210</v>
      </c>
      <c r="E104" s="18" t="s">
        <v>616</v>
      </c>
      <c r="F104" s="18" t="s">
        <v>617</v>
      </c>
      <c r="G104" s="18" t="s">
        <v>618</v>
      </c>
      <c r="H104" s="18" t="s">
        <v>619</v>
      </c>
    </row>
    <row r="105" customFormat="false" ht="23.25" hidden="false" customHeight="true" outlineLevel="0" collapsed="false">
      <c r="A105" s="14" t="s">
        <v>342</v>
      </c>
      <c r="B105" s="16" t="s">
        <v>614</v>
      </c>
      <c r="C105" s="16" t="s">
        <v>615</v>
      </c>
      <c r="D105" s="16" t="s">
        <v>210</v>
      </c>
      <c r="E105" s="16" t="s">
        <v>616</v>
      </c>
      <c r="F105" s="16" t="s">
        <v>617</v>
      </c>
      <c r="G105" s="16" t="s">
        <v>618</v>
      </c>
      <c r="H105" s="16" t="s">
        <v>619</v>
      </c>
    </row>
    <row r="106" customFormat="false" ht="23.25" hidden="false" customHeight="true" outlineLevel="0" collapsed="false">
      <c r="A106" s="17" t="s">
        <v>352</v>
      </c>
      <c r="B106" s="18" t="s">
        <v>614</v>
      </c>
      <c r="C106" s="18" t="s">
        <v>615</v>
      </c>
      <c r="D106" s="18" t="s">
        <v>210</v>
      </c>
      <c r="E106" s="18" t="s">
        <v>616</v>
      </c>
      <c r="F106" s="18" t="s">
        <v>617</v>
      </c>
      <c r="G106" s="18" t="s">
        <v>618</v>
      </c>
      <c r="H106" s="18" t="s">
        <v>619</v>
      </c>
    </row>
    <row r="107" customFormat="false" ht="23.25" hidden="false" customHeight="true" outlineLevel="0" collapsed="false">
      <c r="A107" s="14" t="s">
        <v>363</v>
      </c>
      <c r="B107" s="16" t="s">
        <v>614</v>
      </c>
      <c r="C107" s="16" t="s">
        <v>615</v>
      </c>
      <c r="D107" s="16" t="s">
        <v>210</v>
      </c>
      <c r="E107" s="16" t="s">
        <v>616</v>
      </c>
      <c r="F107" s="16" t="s">
        <v>617</v>
      </c>
      <c r="G107" s="16" t="s">
        <v>618</v>
      </c>
      <c r="H107" s="16" t="s">
        <v>619</v>
      </c>
    </row>
    <row r="108" customFormat="false" ht="23.25" hidden="false" customHeight="true" outlineLevel="0" collapsed="false">
      <c r="A108" s="17" t="s">
        <v>374</v>
      </c>
      <c r="B108" s="18" t="s">
        <v>614</v>
      </c>
      <c r="C108" s="18" t="s">
        <v>615</v>
      </c>
      <c r="D108" s="18" t="s">
        <v>210</v>
      </c>
      <c r="E108" s="18" t="s">
        <v>616</v>
      </c>
      <c r="F108" s="18" t="s">
        <v>617</v>
      </c>
      <c r="G108" s="18" t="s">
        <v>618</v>
      </c>
      <c r="H108" s="18" t="s">
        <v>619</v>
      </c>
    </row>
    <row r="109" customFormat="false" ht="23.25" hidden="false" customHeight="true" outlineLevel="0" collapsed="false">
      <c r="A109" s="14" t="s">
        <v>383</v>
      </c>
      <c r="B109" s="16" t="s">
        <v>400</v>
      </c>
      <c r="C109" s="16" t="s">
        <v>620</v>
      </c>
      <c r="D109" s="16" t="s">
        <v>94</v>
      </c>
      <c r="E109" s="16" t="s">
        <v>95</v>
      </c>
      <c r="F109" s="16" t="s">
        <v>621</v>
      </c>
      <c r="G109" s="16" t="s">
        <v>467</v>
      </c>
      <c r="H109" s="16" t="s">
        <v>464</v>
      </c>
    </row>
    <row r="110" customFormat="false" ht="23.25" hidden="false" customHeight="true" outlineLevel="0" collapsed="false">
      <c r="A110" s="17" t="s">
        <v>383</v>
      </c>
      <c r="B110" s="18" t="s">
        <v>406</v>
      </c>
      <c r="C110" s="18" t="s">
        <v>622</v>
      </c>
      <c r="D110" s="18" t="s">
        <v>100</v>
      </c>
      <c r="E110" s="18" t="s">
        <v>101</v>
      </c>
      <c r="F110" s="18" t="s">
        <v>623</v>
      </c>
      <c r="G110" s="18" t="s">
        <v>486</v>
      </c>
      <c r="H110" s="18" t="s">
        <v>464</v>
      </c>
    </row>
    <row r="111" customFormat="false" ht="23.25" hidden="false" customHeight="true" outlineLevel="0" collapsed="false">
      <c r="A111" s="14" t="s">
        <v>383</v>
      </c>
      <c r="B111" s="16" t="s">
        <v>411</v>
      </c>
      <c r="C111" s="16" t="s">
        <v>624</v>
      </c>
      <c r="D111" s="16" t="s">
        <v>88</v>
      </c>
      <c r="E111" s="16" t="s">
        <v>89</v>
      </c>
      <c r="F111" s="16" t="s">
        <v>625</v>
      </c>
      <c r="G111" s="16" t="s">
        <v>493</v>
      </c>
      <c r="H111" s="16" t="s">
        <v>464</v>
      </c>
    </row>
    <row r="112" customFormat="false" ht="23.25" hidden="false" customHeight="true" outlineLevel="0" collapsed="false">
      <c r="A112" s="17" t="s">
        <v>383</v>
      </c>
      <c r="B112" s="18" t="s">
        <v>416</v>
      </c>
      <c r="C112" s="18" t="s">
        <v>626</v>
      </c>
      <c r="D112" s="18" t="s">
        <v>82</v>
      </c>
      <c r="E112" s="18" t="s">
        <v>83</v>
      </c>
      <c r="F112" s="18" t="s">
        <v>627</v>
      </c>
      <c r="G112" s="18" t="s">
        <v>470</v>
      </c>
      <c r="H112" s="18" t="s">
        <v>464</v>
      </c>
    </row>
    <row r="113" customFormat="false" ht="23.25" hidden="false" customHeight="true" outlineLevel="0" collapsed="false">
      <c r="A113" s="14" t="s">
        <v>383</v>
      </c>
      <c r="B113" s="16" t="s">
        <v>614</v>
      </c>
      <c r="C113" s="16" t="s">
        <v>615</v>
      </c>
      <c r="D113" s="16" t="s">
        <v>210</v>
      </c>
      <c r="E113" s="16" t="s">
        <v>616</v>
      </c>
      <c r="F113" s="16" t="s">
        <v>628</v>
      </c>
      <c r="G113" s="16" t="s">
        <v>618</v>
      </c>
      <c r="H113" s="16" t="s">
        <v>619</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4"/>
    <col collapsed="false" customWidth="true" hidden="false" outlineLevel="0" max="3" min="3" style="1" width="12"/>
    <col collapsed="false" customWidth="true" hidden="false" outlineLevel="0" max="4" min="4" style="1" width="14"/>
    <col collapsed="false" customWidth="true" hidden="false" outlineLevel="0" max="5" min="5" style="1" width="16"/>
    <col collapsed="false" customWidth="true" hidden="false" outlineLevel="0" max="6" min="6" style="1" width="8"/>
    <col collapsed="false" customWidth="true" hidden="false" outlineLevel="0" max="7" min="7" style="1" width="20"/>
  </cols>
  <sheetData>
    <row r="1" customFormat="false" ht="27.75" hidden="false" customHeight="true" outlineLevel="0" collapsed="false">
      <c r="A1" s="35" t="s">
        <v>629</v>
      </c>
      <c r="B1" s="35"/>
      <c r="C1" s="35"/>
      <c r="D1" s="35"/>
      <c r="E1" s="35"/>
      <c r="F1" s="35"/>
      <c r="G1" s="35"/>
    </row>
    <row r="2" customFormat="false" ht="48" hidden="false" customHeight="true" outlineLevel="0" collapsed="false">
      <c r="A2" s="37" t="s">
        <v>630</v>
      </c>
      <c r="B2" s="37"/>
      <c r="C2" s="37"/>
      <c r="D2" s="37"/>
      <c r="E2" s="37"/>
      <c r="F2" s="37"/>
      <c r="G2" s="37"/>
    </row>
    <row r="3" customFormat="false" ht="27.75" hidden="false" customHeight="true" outlineLevel="0" collapsed="false">
      <c r="A3" s="36" t="s">
        <v>70</v>
      </c>
      <c r="B3" s="36" t="s">
        <v>71</v>
      </c>
      <c r="C3" s="36" t="s">
        <v>631</v>
      </c>
      <c r="D3" s="36" t="s">
        <v>632</v>
      </c>
      <c r="E3" s="36" t="s">
        <v>633</v>
      </c>
      <c r="F3" s="36" t="s">
        <v>634</v>
      </c>
      <c r="G3" s="36" t="s">
        <v>635</v>
      </c>
    </row>
    <row r="4" customFormat="false" ht="24" hidden="false" customHeight="true" outlineLevel="0" collapsed="false">
      <c r="A4" s="23" t="s">
        <v>76</v>
      </c>
      <c r="B4" s="23" t="s">
        <v>77</v>
      </c>
      <c r="C4" s="24" t="n">
        <f aca="false">SUM((Questionnaire!P7="A")*1,(Questionnaire!P10="B")*1,(Questionnaire!P13="B")*1,(Questionnaire!P15="A")*1,(Questionnaire!P18="A")*1,(Questionnaire!P19="C")*1,(Questionnaire!P20="A")*1,(Questionnaire!P21="D")*1,(Questionnaire!P24="A")*1)</f>
        <v>0</v>
      </c>
      <c r="D4" s="24" t="n">
        <v>9</v>
      </c>
      <c r="E4" s="24" t="n">
        <f aca="false">IF(D4=0,0,ROUND(C4/D4*100,1))</f>
        <v>0</v>
      </c>
      <c r="F4" s="38" t="n">
        <f aca="false">RANK(C4,C4:C12,0)</f>
        <v>1</v>
      </c>
      <c r="G4" s="39" t="str">
        <f aca="false">IF(F4=1,"HIGHEST_SIGNAL",IF(F4=2,"SECOND_SIGNAL",""))</f>
        <v>HIGHEST_SIGNAL</v>
      </c>
    </row>
    <row r="5" customFormat="false" ht="24" hidden="false" customHeight="true" outlineLevel="0" collapsed="false">
      <c r="A5" s="21" t="s">
        <v>82</v>
      </c>
      <c r="B5" s="21" t="s">
        <v>83</v>
      </c>
      <c r="C5" s="22" t="n">
        <f aca="false">SUM((Questionnaire!P7="C")*1,(Questionnaire!P8="C")*1,(Questionnaire!P10="C")*1,(Questionnaire!P11="D")*1,(Questionnaire!P13="A")*1,(Questionnaire!P15="B")*1,(Questionnaire!P18="C")*1,(Questionnaire!P19="D")*1,(Questionnaire!P20="C")*1,(Questionnaire!P23="C")*1,(Questionnaire!P24="B")*1)</f>
        <v>0</v>
      </c>
      <c r="D5" s="22" t="n">
        <v>11</v>
      </c>
      <c r="E5" s="22" t="n">
        <f aca="false">IF(D5=0,0,ROUND(C5/D5*100,1))</f>
        <v>0</v>
      </c>
      <c r="F5" s="40" t="n">
        <f aca="false">RANK(C5,C4:C12,0)</f>
        <v>1</v>
      </c>
      <c r="G5" s="41" t="str">
        <f aca="false">IF(F5=1,"HIGHEST_SIGNAL",IF(F5=2,"SECOND_SIGNAL",""))</f>
        <v>HIGHEST_SIGNAL</v>
      </c>
    </row>
    <row r="6" customFormat="false" ht="24" hidden="false" customHeight="true" outlineLevel="0" collapsed="false">
      <c r="A6" s="23" t="s">
        <v>88</v>
      </c>
      <c r="B6" s="23" t="s">
        <v>89</v>
      </c>
      <c r="C6" s="24" t="n">
        <f aca="false">SUM((Questionnaire!P9="D")*1,(Questionnaire!P16="B")*1,(Questionnaire!P18="B")*1,(Questionnaire!P21="C")*1,(Questionnaire!P23="B")*1)</f>
        <v>0</v>
      </c>
      <c r="D6" s="24" t="n">
        <v>6</v>
      </c>
      <c r="E6" s="24" t="n">
        <f aca="false">IF(D6=0,0,ROUND(C6/D6*100,1))</f>
        <v>0</v>
      </c>
      <c r="F6" s="38" t="n">
        <f aca="false">RANK(C6,C4:C12,0)</f>
        <v>1</v>
      </c>
      <c r="G6" s="39" t="str">
        <f aca="false">IF(F6=1,"HIGHEST_SIGNAL",IF(F6=2,"SECOND_SIGNAL",""))</f>
        <v>HIGHEST_SIGNAL</v>
      </c>
    </row>
    <row r="7" customFormat="false" ht="24" hidden="false" customHeight="true" outlineLevel="0" collapsed="false">
      <c r="A7" s="21" t="s">
        <v>94</v>
      </c>
      <c r="B7" s="21" t="s">
        <v>95</v>
      </c>
      <c r="C7" s="22" t="n">
        <f aca="false">SUM((Questionnaire!P7="B")*1,(Questionnaire!P8="A")*1,(Questionnaire!P9="C")*1,(Questionnaire!P10="A")*1,(Questionnaire!P11="A")*1,(Questionnaire!P12="A")*1,(Questionnaire!P14="D")*1,(Questionnaire!P15="C")*1,(Questionnaire!P16="C")*1,(Questionnaire!P17="B")*1,(Questionnaire!P19="B")*1,(Questionnaire!P21="B")*1,(Questionnaire!P22="A")*1,(Questionnaire!P23="A")*1)</f>
        <v>0</v>
      </c>
      <c r="D7" s="22" t="n">
        <v>14</v>
      </c>
      <c r="E7" s="22" t="n">
        <f aca="false">IF(D7=0,0,ROUND(C7/D7*100,1))</f>
        <v>0</v>
      </c>
      <c r="F7" s="40" t="n">
        <f aca="false">RANK(C7,C4:C12,0)</f>
        <v>1</v>
      </c>
      <c r="G7" s="41" t="str">
        <f aca="false">IF(F7=1,"HIGHEST_SIGNAL",IF(F7=2,"SECOND_SIGNAL",""))</f>
        <v>HIGHEST_SIGNAL</v>
      </c>
    </row>
    <row r="8" customFormat="false" ht="24" hidden="false" customHeight="true" outlineLevel="0" collapsed="false">
      <c r="A8" s="23" t="s">
        <v>100</v>
      </c>
      <c r="B8" s="23" t="s">
        <v>101</v>
      </c>
      <c r="C8" s="24" t="n">
        <f aca="false">SUM((Questionnaire!P9="A")*1,(Questionnaire!P12="B")*1,(Questionnaire!P14="A")*1,(Questionnaire!P17="A")*1,(Questionnaire!P21="A")*1)</f>
        <v>0</v>
      </c>
      <c r="D8" s="24" t="n">
        <v>5</v>
      </c>
      <c r="E8" s="24" t="n">
        <f aca="false">IF(D8=0,0,ROUND(C8/D8*100,1))</f>
        <v>0</v>
      </c>
      <c r="F8" s="38" t="n">
        <f aca="false">RANK(C8,C4:C12,0)</f>
        <v>1</v>
      </c>
      <c r="G8" s="39" t="str">
        <f aca="false">IF(F8=1,"HIGHEST_SIGNAL",IF(F8=2,"SECOND_SIGNAL",""))</f>
        <v>HIGHEST_SIGNAL</v>
      </c>
    </row>
    <row r="9" customFormat="false" ht="24" hidden="false" customHeight="true" outlineLevel="0" collapsed="false">
      <c r="A9" s="21" t="s">
        <v>106</v>
      </c>
      <c r="B9" s="21" t="s">
        <v>107</v>
      </c>
      <c r="C9" s="22" t="n">
        <f aca="false">SUM((Questionnaire!P8="B")*1,(Questionnaire!P11="C")*1,(Questionnaire!P12="C")*1,(Questionnaire!P13="C")*1,(Questionnaire!P14="C")*1,(Questionnaire!P16="A")*1,(Questionnaire!P20="B")*1,(Questionnaire!P22="B")*1,(Questionnaire!P23="D")*1)</f>
        <v>0</v>
      </c>
      <c r="D9" s="22" t="n">
        <v>9</v>
      </c>
      <c r="E9" s="22" t="n">
        <f aca="false">IF(D9=0,0,ROUND(C9/D9*100,1))</f>
        <v>0</v>
      </c>
      <c r="F9" s="40" t="n">
        <f aca="false">RANK(C9,C4:C12,0)</f>
        <v>1</v>
      </c>
      <c r="G9" s="41" t="str">
        <f aca="false">IF(F9=1,"HIGHEST_SIGNAL",IF(F9=2,"SECOND_SIGNAL",""))</f>
        <v>HIGHEST_SIGNAL</v>
      </c>
    </row>
    <row r="10" customFormat="false" ht="24" hidden="false" customHeight="true" outlineLevel="0" collapsed="false">
      <c r="A10" s="23" t="s">
        <v>112</v>
      </c>
      <c r="B10" s="23" t="s">
        <v>113</v>
      </c>
      <c r="C10" s="24" t="n">
        <f aca="false">SUM((Questionnaire!P8="D")*1,(Questionnaire!P9="B")*1,(Questionnaire!P13="D")*1,(Questionnaire!P14="B")*1,(Questionnaire!P16="D")*1,(Questionnaire!P17="D")*1,(Questionnaire!P20="D")*1,(Questionnaire!P24="D")*1)</f>
        <v>0</v>
      </c>
      <c r="D10" s="24" t="n">
        <v>8</v>
      </c>
      <c r="E10" s="24" t="n">
        <f aca="false">IF(D10=0,0,ROUND(C10/D10*100,1))</f>
        <v>0</v>
      </c>
      <c r="F10" s="38" t="n">
        <f aca="false">RANK(C10,C4:C12,0)</f>
        <v>1</v>
      </c>
      <c r="G10" s="39" t="str">
        <f aca="false">IF(F10=1,"HIGHEST_SIGNAL",IF(F10=2,"SECOND_SIGNAL",""))</f>
        <v>HIGHEST_SIGNAL</v>
      </c>
    </row>
    <row r="11" customFormat="false" ht="24" hidden="false" customHeight="true" outlineLevel="0" collapsed="false">
      <c r="A11" s="21" t="s">
        <v>118</v>
      </c>
      <c r="B11" s="21" t="s">
        <v>119</v>
      </c>
      <c r="C11" s="22" t="n">
        <f aca="false">SUM((Questionnaire!P10="D")*1,(Questionnaire!P11="B")*1,(Questionnaire!P12="D")*1,(Questionnaire!P17="C")*1,(Questionnaire!P19="A")*1,(Questionnaire!P22="C")*1)</f>
        <v>0</v>
      </c>
      <c r="D11" s="22" t="n">
        <v>6</v>
      </c>
      <c r="E11" s="22" t="n">
        <f aca="false">IF(D11=0,0,ROUND(C11/D11*100,1))</f>
        <v>0</v>
      </c>
      <c r="F11" s="40" t="n">
        <f aca="false">RANK(C11,C4:C12,0)</f>
        <v>1</v>
      </c>
      <c r="G11" s="41" t="str">
        <f aca="false">IF(F11=1,"HIGHEST_SIGNAL",IF(F11=2,"SECOND_SIGNAL",""))</f>
        <v>HIGHEST_SIGNAL</v>
      </c>
    </row>
    <row r="12" customFormat="false" ht="24" hidden="false" customHeight="true" outlineLevel="0" collapsed="false">
      <c r="A12" s="23" t="s">
        <v>124</v>
      </c>
      <c r="B12" s="23" t="s">
        <v>125</v>
      </c>
      <c r="C12" s="24" t="n">
        <f aca="false">SUM((Questionnaire!P7="D")*1,(Questionnaire!P15="D")*1,(Questionnaire!P18="D")*1,(Questionnaire!P22="D")*1,(Questionnaire!P24="C")*1)</f>
        <v>0</v>
      </c>
      <c r="D12" s="24" t="n">
        <v>5</v>
      </c>
      <c r="E12" s="24" t="n">
        <f aca="false">IF(D12=0,0,ROUND(C12/D12*100,1))</f>
        <v>0</v>
      </c>
      <c r="F12" s="38" t="n">
        <f aca="false">RANK(C12,C4:C12,0)</f>
        <v>1</v>
      </c>
      <c r="G12" s="39" t="str">
        <f aca="false">IF(F12=1,"HIGHEST_SIGNAL",IF(F12=2,"SECOND_SIGNAL",""))</f>
        <v>HIGHEST_SIGNAL</v>
      </c>
    </row>
    <row r="13" customFormat="false" ht="49.5" hidden="false" customHeight="true" outlineLevel="0" collapsed="false">
      <c r="A13" s="42" t="s">
        <v>636</v>
      </c>
      <c r="B13" s="42"/>
      <c r="C13" s="42"/>
      <c r="D13" s="42"/>
      <c r="E13" s="42"/>
      <c r="F13" s="42"/>
      <c r="G13" s="42"/>
    </row>
    <row r="15" customFormat="false" ht="15" hidden="false" customHeight="true" outlineLevel="0" collapsed="false">
      <c r="A15" s="43" t="s">
        <v>637</v>
      </c>
      <c r="B15" s="43"/>
      <c r="C15" s="43"/>
      <c r="D15" s="43"/>
      <c r="E15" s="43"/>
      <c r="F15" s="43"/>
      <c r="G15" s="43"/>
    </row>
    <row r="16" customFormat="false" ht="34.5" hidden="false" customHeight="true" outlineLevel="0" collapsed="false">
      <c r="A16" s="4" t="s">
        <v>638</v>
      </c>
      <c r="B16" s="44" t="str">
        <f aca="false">INDEX(B4:B12,MATCH(MIN(F4:F12),F4:F12,0))</f>
        <v>The Idea Lab</v>
      </c>
      <c r="C16" s="44"/>
      <c r="D16" s="44"/>
      <c r="E16" s="44"/>
      <c r="F16" s="44"/>
      <c r="G16" s="44"/>
    </row>
    <row r="17" customFormat="false" ht="34.5" hidden="false" customHeight="true" outlineLevel="0" collapsed="false">
      <c r="A17" s="4" t="s">
        <v>639</v>
      </c>
      <c r="B17" s="44" t="str">
        <f aca="false">INDEX(A4:A12,MATCH(MIN(F4:F12),F4:F12,0))</f>
        <v>NF/NT</v>
      </c>
      <c r="C17" s="44"/>
      <c r="D17" s="44"/>
      <c r="E17" s="44"/>
      <c r="F17" s="44"/>
      <c r="G17" s="44"/>
    </row>
    <row r="18" customFormat="false" ht="23.25" hidden="false" customHeight="true" outlineLevel="0" collapsed="false">
      <c r="A18" s="4" t="s">
        <v>640</v>
      </c>
      <c r="B18" s="44" t="n">
        <f aca="false">MAX(C4:C12)</f>
        <v>0</v>
      </c>
      <c r="C18" s="44"/>
      <c r="D18" s="44"/>
      <c r="E18" s="44"/>
      <c r="F18" s="44"/>
      <c r="G18" s="44"/>
    </row>
    <row r="19" customFormat="false" ht="34.5" hidden="false" customHeight="true" outlineLevel="0" collapsed="false">
      <c r="A19" s="4" t="s">
        <v>641</v>
      </c>
      <c r="B19" s="44" t="str">
        <f aca="false">INDEX(B4:B12,MATCH(SMALL(F4:F12,2),F4:F12,0))</f>
        <v>The Idea Lab</v>
      </c>
      <c r="C19" s="44"/>
      <c r="D19" s="44"/>
      <c r="E19" s="44"/>
      <c r="F19" s="44"/>
      <c r="G19" s="44"/>
    </row>
    <row r="20" customFormat="false" ht="23.25" hidden="false" customHeight="true" outlineLevel="0" collapsed="false">
      <c r="A20" s="4" t="s">
        <v>642</v>
      </c>
      <c r="B20" s="44" t="n">
        <f aca="false">LARGE(C4:C12,2)</f>
        <v>0</v>
      </c>
      <c r="C20" s="44"/>
      <c r="D20" s="44"/>
      <c r="E20" s="44"/>
      <c r="F20" s="44"/>
      <c r="G20" s="44"/>
    </row>
    <row r="21" customFormat="false" ht="34.5" hidden="false" customHeight="true" outlineLevel="0" collapsed="false">
      <c r="A21" s="4" t="s">
        <v>643</v>
      </c>
      <c r="B21" s="44" t="n">
        <f aca="false">MAX(C4:C12)-LARGE(C4:C12,2)</f>
        <v>0</v>
      </c>
      <c r="C21" s="44"/>
      <c r="D21" s="44"/>
      <c r="E21" s="44"/>
      <c r="F21" s="44"/>
      <c r="G21" s="44"/>
    </row>
    <row r="22" customFormat="false" ht="45.75" hidden="false" customHeight="true" outlineLevel="0" collapsed="false">
      <c r="A22" s="4" t="s">
        <v>644</v>
      </c>
      <c r="B22" s="44" t="n">
        <f aca="false">COUNTA(Questionnaire!P5:P22)</f>
        <v>0</v>
      </c>
      <c r="C22" s="44"/>
      <c r="D22" s="44"/>
      <c r="E22" s="44"/>
      <c r="F22" s="44"/>
      <c r="G22" s="44"/>
    </row>
    <row r="24" customFormat="false" ht="63.75" hidden="false" customHeight="true" outlineLevel="0" collapsed="false">
      <c r="A24" s="45" t="s">
        <v>645</v>
      </c>
      <c r="B24" s="45"/>
      <c r="C24" s="45"/>
      <c r="D24" s="45"/>
      <c r="E24" s="45"/>
      <c r="F24" s="45"/>
      <c r="G24" s="45"/>
    </row>
  </sheetData>
  <mergeCells count="12">
    <mergeCell ref="A1:G1"/>
    <mergeCell ref="A2:G2"/>
    <mergeCell ref="A13:G13"/>
    <mergeCell ref="A15:G15"/>
    <mergeCell ref="B16:G16"/>
    <mergeCell ref="B17:G17"/>
    <mergeCell ref="B18:G18"/>
    <mergeCell ref="B19:G19"/>
    <mergeCell ref="B20:G20"/>
    <mergeCell ref="B21:G21"/>
    <mergeCell ref="B22:G22"/>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8"/>
    <col collapsed="false" customWidth="true" hidden="false" outlineLevel="0" max="3" min="3" style="1" width="14"/>
    <col collapsed="false" customWidth="true" hidden="false" outlineLevel="0" max="4" min="4" style="1" width="44"/>
    <col collapsed="false" customWidth="true" hidden="false" outlineLevel="0" max="6" min="5" style="1" width="40"/>
  </cols>
  <sheetData>
    <row r="1" customFormat="false" ht="27.75" hidden="false" customHeight="true" outlineLevel="0" collapsed="false">
      <c r="A1" s="35" t="s">
        <v>646</v>
      </c>
      <c r="B1" s="35"/>
      <c r="C1" s="35"/>
      <c r="D1" s="35"/>
      <c r="E1" s="35"/>
      <c r="F1" s="35"/>
    </row>
    <row r="2" customFormat="false" ht="39.75" hidden="false" customHeight="true" outlineLevel="0" collapsed="false">
      <c r="A2" s="37" t="s">
        <v>647</v>
      </c>
      <c r="B2" s="37"/>
      <c r="C2" s="37"/>
      <c r="D2" s="37"/>
      <c r="E2" s="37"/>
      <c r="F2" s="37"/>
    </row>
    <row r="3" customFormat="false" ht="27.75" hidden="false" customHeight="true" outlineLevel="0" collapsed="false">
      <c r="A3" s="36" t="s">
        <v>648</v>
      </c>
      <c r="B3" s="36" t="s">
        <v>146</v>
      </c>
      <c r="C3" s="36" t="s">
        <v>649</v>
      </c>
      <c r="D3" s="36" t="s">
        <v>650</v>
      </c>
      <c r="E3" s="36" t="s">
        <v>651</v>
      </c>
      <c r="F3" s="36" t="s">
        <v>652</v>
      </c>
    </row>
    <row r="4" customFormat="false" ht="36" hidden="false" customHeight="true" outlineLevel="0" collapsed="false">
      <c r="A4" s="46" t="s">
        <v>653</v>
      </c>
      <c r="B4" s="46" t="n">
        <f aca="false">Questionnaire!P5</f>
        <v>0</v>
      </c>
      <c r="C4" s="46" t="str">
        <f aca="false">IF(Questionnaire!P5="A",3,IF(Questionnaire!P5="B",2,IF(Questionnaire!P5="C",1,IF(Questionnaire!P5="D",0,""))))</f>
        <v/>
      </c>
      <c r="D4" s="46"/>
      <c r="E4" s="46"/>
      <c r="F4" s="46"/>
    </row>
    <row r="5" customFormat="false" ht="36" hidden="false" customHeight="true" outlineLevel="0" collapsed="false">
      <c r="A5" s="47" t="s">
        <v>654</v>
      </c>
      <c r="B5" s="47" t="n">
        <f aca="false">Questionnaire!P6</f>
        <v>0</v>
      </c>
      <c r="C5" s="47" t="str">
        <f aca="false">IF(Questionnaire!P6="A",3,IF(Questionnaire!P6="B",2,IF(Questionnaire!P6="C",1,IF(Questionnaire!P6="D",0,""))))</f>
        <v/>
      </c>
      <c r="D5" s="47"/>
      <c r="E5" s="47"/>
      <c r="F5" s="47"/>
    </row>
    <row r="6" customFormat="false" ht="36" hidden="false" customHeight="true" outlineLevel="0" collapsed="false">
      <c r="A6" s="46" t="s">
        <v>655</v>
      </c>
      <c r="B6" s="46" t="n">
        <f aca="false">Questionnaire!P7</f>
        <v>0</v>
      </c>
      <c r="C6" s="46" t="str">
        <f aca="false">IF(Questionnaire!P7="A",3,IF(Questionnaire!P7="B",2,IF(Questionnaire!P7="C",1,IF(Questionnaire!P7="D",0,""))))</f>
        <v/>
      </c>
      <c r="D6" s="46"/>
      <c r="E6" s="46"/>
      <c r="F6" s="46"/>
    </row>
    <row r="7" customFormat="false" ht="36" hidden="false" customHeight="true" outlineLevel="0" collapsed="false">
      <c r="A7" s="47" t="s">
        <v>656</v>
      </c>
      <c r="B7" s="47" t="n">
        <f aca="false">Questionnaire!P8</f>
        <v>0</v>
      </c>
      <c r="C7" s="47" t="str">
        <f aca="false">IF(Questionnaire!P8="A",3,IF(Questionnaire!P8="B",2,IF(Questionnaire!P8="C",1,IF(Questionnaire!P8="D",0,""))))</f>
        <v/>
      </c>
      <c r="D7" s="47"/>
      <c r="E7" s="47"/>
      <c r="F7" s="47"/>
    </row>
    <row r="8" customFormat="false" ht="27.75" hidden="false" customHeight="true" outlineLevel="0" collapsed="false">
      <c r="A8" s="48" t="s">
        <v>657</v>
      </c>
      <c r="C8" s="49" t="n">
        <f aca="false">SUM(C4:C7)</f>
        <v>0</v>
      </c>
    </row>
    <row r="10" customFormat="false" ht="15" hidden="false" customHeight="true" outlineLevel="0" collapsed="false">
      <c r="A10" s="43" t="s">
        <v>658</v>
      </c>
      <c r="B10" s="43"/>
      <c r="C10" s="43"/>
      <c r="D10" s="43"/>
      <c r="E10" s="43"/>
      <c r="F10" s="43"/>
    </row>
    <row r="11" customFormat="false" ht="15" hidden="false" customHeight="true" outlineLevel="0" collapsed="false">
      <c r="A11" s="36" t="s">
        <v>651</v>
      </c>
      <c r="B11" s="36" t="s">
        <v>659</v>
      </c>
      <c r="C11" s="36" t="s">
        <v>660</v>
      </c>
      <c r="D11" s="36" t="s">
        <v>652</v>
      </c>
      <c r="E11" s="36" t="s">
        <v>661</v>
      </c>
      <c r="F11" s="36" t="s">
        <v>662</v>
      </c>
    </row>
    <row r="12" customFormat="false" ht="51.75" hidden="false" customHeight="true" outlineLevel="0" collapsed="false">
      <c r="A12" s="50" t="s">
        <v>663</v>
      </c>
      <c r="B12" s="50" t="s">
        <v>664</v>
      </c>
      <c r="C12" s="50" t="s">
        <v>665</v>
      </c>
      <c r="D12" s="50" t="s">
        <v>666</v>
      </c>
      <c r="E12" s="50" t="s">
        <v>667</v>
      </c>
      <c r="F12" s="50" t="s">
        <v>668</v>
      </c>
    </row>
    <row r="13" customFormat="false" ht="51.75" hidden="false" customHeight="true" outlineLevel="0" collapsed="false">
      <c r="A13" s="51" t="s">
        <v>669</v>
      </c>
      <c r="B13" s="51" t="s">
        <v>670</v>
      </c>
      <c r="C13" s="51" t="s">
        <v>671</v>
      </c>
      <c r="D13" s="51" t="s">
        <v>672</v>
      </c>
      <c r="E13" s="51" t="s">
        <v>673</v>
      </c>
      <c r="F13" s="51" t="s">
        <v>674</v>
      </c>
    </row>
    <row r="14" customFormat="false" ht="51.75" hidden="false" customHeight="true" outlineLevel="0" collapsed="false">
      <c r="A14" s="52" t="s">
        <v>675</v>
      </c>
      <c r="B14" s="52" t="s">
        <v>676</v>
      </c>
      <c r="C14" s="52" t="s">
        <v>677</v>
      </c>
      <c r="D14" s="52" t="s">
        <v>678</v>
      </c>
      <c r="E14" s="52" t="s">
        <v>679</v>
      </c>
      <c r="F14" s="52" t="s">
        <v>680</v>
      </c>
    </row>
    <row r="15" customFormat="false" ht="51.75" hidden="false" customHeight="true" outlineLevel="0" collapsed="false">
      <c r="A15" s="53" t="s">
        <v>681</v>
      </c>
      <c r="B15" s="53" t="s">
        <v>682</v>
      </c>
      <c r="C15" s="53" t="s">
        <v>683</v>
      </c>
      <c r="D15" s="53" t="s">
        <v>684</v>
      </c>
      <c r="E15" s="53" t="s">
        <v>685</v>
      </c>
      <c r="F15" s="53" t="s">
        <v>686</v>
      </c>
    </row>
    <row r="17" customFormat="false" ht="15" hidden="false" customHeight="true" outlineLevel="0" collapsed="false">
      <c r="A17" s="54" t="s">
        <v>687</v>
      </c>
      <c r="B17" s="55" t="str">
        <f aca="false">IF(C8&gt;=10,"High confidence",IF(C8&gt;=7,"Moderate confidence",IF(C8&gt;=4,"Weak signal","Irresolvable")))</f>
        <v>Irresolvable</v>
      </c>
    </row>
  </sheetData>
  <mergeCells count="3">
    <mergeCell ref="A1:F1"/>
    <mergeCell ref="A2:F2"/>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52"/>
    <col collapsed="false" customWidth="true" hidden="false" outlineLevel="0" max="4" min="4" style="1" width="42"/>
    <col collapsed="false" customWidth="true" hidden="false" outlineLevel="0" max="5" min="5" style="1" width="40"/>
  </cols>
  <sheetData>
    <row r="1" customFormat="false" ht="27.75" hidden="false" customHeight="true" outlineLevel="0" collapsed="false">
      <c r="A1" s="35" t="s">
        <v>688</v>
      </c>
      <c r="B1" s="35"/>
      <c r="C1" s="35"/>
      <c r="D1" s="35"/>
      <c r="E1" s="35"/>
    </row>
    <row r="2" customFormat="false" ht="15" hidden="false" customHeight="true" outlineLevel="0" collapsed="false">
      <c r="A2" s="43" t="s">
        <v>689</v>
      </c>
      <c r="B2" s="43"/>
      <c r="C2" s="43"/>
      <c r="D2" s="43"/>
      <c r="E2" s="43"/>
    </row>
    <row r="3" customFormat="false" ht="24" hidden="false" customHeight="true" outlineLevel="0" collapsed="false">
      <c r="A3" s="56" t="s">
        <v>638</v>
      </c>
      <c r="B3" s="57" t="str">
        <f aca="false">Scoring_Model!B16</f>
        <v>The Idea Lab</v>
      </c>
      <c r="C3" s="57"/>
      <c r="D3" s="57"/>
      <c r="E3" s="57"/>
    </row>
    <row r="4" customFormat="false" ht="24" hidden="false" customHeight="true" outlineLevel="0" collapsed="false">
      <c r="A4" s="56" t="s">
        <v>639</v>
      </c>
      <c r="B4" s="57" t="str">
        <f aca="false">Scoring_Model!B17</f>
        <v>NF/NT</v>
      </c>
      <c r="C4" s="57"/>
      <c r="D4" s="57"/>
      <c r="E4" s="57"/>
    </row>
    <row r="5" customFormat="false" ht="24" hidden="false" customHeight="true" outlineLevel="0" collapsed="false">
      <c r="A5" s="56" t="s">
        <v>640</v>
      </c>
      <c r="B5" s="57" t="n">
        <f aca="false">Scoring_Model!B18</f>
        <v>0</v>
      </c>
      <c r="C5" s="57"/>
      <c r="D5" s="57"/>
      <c r="E5" s="57"/>
    </row>
    <row r="6" customFormat="false" ht="24" hidden="false" customHeight="true" outlineLevel="0" collapsed="false">
      <c r="A6" s="56" t="s">
        <v>641</v>
      </c>
      <c r="B6" s="57" t="str">
        <f aca="false">Scoring_Model!B19</f>
        <v>The Idea Lab</v>
      </c>
      <c r="C6" s="57"/>
      <c r="D6" s="57"/>
      <c r="E6" s="57"/>
    </row>
    <row r="7" customFormat="false" ht="24" hidden="false" customHeight="true" outlineLevel="0" collapsed="false">
      <c r="A7" s="56" t="s">
        <v>642</v>
      </c>
      <c r="B7" s="57" t="n">
        <f aca="false">Scoring_Model!B20</f>
        <v>0</v>
      </c>
      <c r="C7" s="57"/>
      <c r="D7" s="57"/>
      <c r="E7" s="57"/>
    </row>
    <row r="8" customFormat="false" ht="24" hidden="false" customHeight="true" outlineLevel="0" collapsed="false">
      <c r="A8" s="56" t="s">
        <v>690</v>
      </c>
      <c r="B8" s="57" t="n">
        <f aca="false">Scoring_Model!B21</f>
        <v>0</v>
      </c>
      <c r="C8" s="57"/>
      <c r="D8" s="57"/>
      <c r="E8" s="57"/>
    </row>
    <row r="9" customFormat="false" ht="24" hidden="false" customHeight="true" outlineLevel="0" collapsed="false">
      <c r="A9" s="56" t="s">
        <v>691</v>
      </c>
      <c r="B9" s="57" t="n">
        <f aca="false">Scoring_Model!B22</f>
        <v>0</v>
      </c>
      <c r="C9" s="57"/>
      <c r="D9" s="57"/>
      <c r="E9" s="57"/>
    </row>
    <row r="10" customFormat="false" ht="24" hidden="false" customHeight="true" outlineLevel="0" collapsed="false">
      <c r="A10" s="56" t="s">
        <v>692</v>
      </c>
      <c r="B10" s="57" t="str">
        <f aca="false">Evidence_Confidence!B17</f>
        <v>Irresolvable</v>
      </c>
      <c r="C10" s="57"/>
      <c r="D10" s="57"/>
      <c r="E10" s="57"/>
    </row>
    <row r="11" customFormat="false" ht="69.75" hidden="false" customHeight="true" outlineLevel="0" collapsed="false">
      <c r="A11" s="42" t="s">
        <v>693</v>
      </c>
      <c r="B11" s="42"/>
      <c r="C11" s="42"/>
      <c r="D11" s="42"/>
      <c r="E11" s="42"/>
    </row>
    <row r="12" customFormat="false" ht="15" hidden="false" customHeight="true" outlineLevel="0" collapsed="false">
      <c r="A12" s="43" t="s">
        <v>694</v>
      </c>
      <c r="B12" s="43"/>
      <c r="C12" s="43"/>
      <c r="D12" s="43"/>
      <c r="E12" s="43"/>
    </row>
    <row r="13" customFormat="false" ht="51.75" hidden="false" customHeight="true" outlineLevel="0" collapsed="false">
      <c r="A13" s="58" t="str">
        <f aca="false">IF(Evidence_Confidence!B17="Irresolvable","IRRESOLVABLE — Insufficient evidence; analyst must not rely on signal pattern",IF(AND(Evidence_Confidence!B17="High confidence",Scoring_Model!B19&gt;=3),"HIGH CONFIDENCE SIGNAL PATTERN — Primary environment reliably identified",IF(AND(Evidence_Confidence!B17="Moderate confidence",Scoring_Model!B19&gt;=2),"MODERATE CONFIDENCE — Working hypothesis; recommend supplemental verification",IF(Scoring_Model!B19&lt;2,"AMBIGUOUS — Score gap too small; environment unclear","WEAK SIGNAL — Limited evidence; diagnosis is preliminary"))))</f>
        <v>IRRESOLVABLE — Insufficient evidence; analyst must not rely on signal pattern</v>
      </c>
      <c r="B13" s="58"/>
      <c r="C13" s="58"/>
      <c r="D13" s="58"/>
      <c r="E13" s="58"/>
    </row>
    <row r="15" customFormat="false" ht="15" hidden="false" customHeight="true" outlineLevel="0" collapsed="false">
      <c r="A15" s="43" t="s">
        <v>695</v>
      </c>
      <c r="B15" s="43"/>
      <c r="C15" s="43"/>
      <c r="D15" s="43"/>
      <c r="E15" s="43"/>
    </row>
    <row r="16" customFormat="false" ht="27.75" hidden="false" customHeight="true" outlineLevel="0" collapsed="false">
      <c r="A16" s="36" t="s">
        <v>70</v>
      </c>
      <c r="B16" s="36" t="s">
        <v>71</v>
      </c>
      <c r="C16" s="36" t="s">
        <v>696</v>
      </c>
      <c r="D16" s="36" t="s">
        <v>697</v>
      </c>
      <c r="E16" s="36" t="s">
        <v>698</v>
      </c>
    </row>
    <row r="17" customFormat="false" ht="72" hidden="false" customHeight="true" outlineLevel="0" collapsed="false">
      <c r="A17" s="32" t="s">
        <v>76</v>
      </c>
      <c r="B17" s="32" t="s">
        <v>77</v>
      </c>
      <c r="C17" s="33" t="s">
        <v>699</v>
      </c>
      <c r="D17" s="33" t="s">
        <v>700</v>
      </c>
      <c r="E17" s="33" t="s">
        <v>701</v>
      </c>
    </row>
    <row r="18" customFormat="false" ht="72" hidden="false" customHeight="true" outlineLevel="0" collapsed="false">
      <c r="A18" s="28" t="s">
        <v>82</v>
      </c>
      <c r="B18" s="28" t="s">
        <v>83</v>
      </c>
      <c r="C18" s="29" t="s">
        <v>702</v>
      </c>
      <c r="D18" s="29" t="s">
        <v>703</v>
      </c>
      <c r="E18" s="29" t="s">
        <v>704</v>
      </c>
    </row>
    <row r="19" customFormat="false" ht="72" hidden="false" customHeight="true" outlineLevel="0" collapsed="false">
      <c r="A19" s="32" t="s">
        <v>88</v>
      </c>
      <c r="B19" s="32" t="s">
        <v>89</v>
      </c>
      <c r="C19" s="33" t="s">
        <v>705</v>
      </c>
      <c r="D19" s="33" t="s">
        <v>706</v>
      </c>
      <c r="E19" s="33" t="s">
        <v>707</v>
      </c>
    </row>
    <row r="20" customFormat="false" ht="72" hidden="false" customHeight="true" outlineLevel="0" collapsed="false">
      <c r="A20" s="28" t="s">
        <v>94</v>
      </c>
      <c r="B20" s="28" t="s">
        <v>95</v>
      </c>
      <c r="C20" s="29" t="s">
        <v>708</v>
      </c>
      <c r="D20" s="29" t="s">
        <v>709</v>
      </c>
      <c r="E20" s="29" t="s">
        <v>710</v>
      </c>
    </row>
    <row r="21" customFormat="false" ht="72" hidden="false" customHeight="true" outlineLevel="0" collapsed="false">
      <c r="A21" s="32" t="s">
        <v>100</v>
      </c>
      <c r="B21" s="32" t="s">
        <v>101</v>
      </c>
      <c r="C21" s="33" t="s">
        <v>711</v>
      </c>
      <c r="D21" s="33" t="s">
        <v>712</v>
      </c>
      <c r="E21" s="33" t="s">
        <v>713</v>
      </c>
    </row>
    <row r="22" customFormat="false" ht="72" hidden="false" customHeight="true" outlineLevel="0" collapsed="false">
      <c r="A22" s="28" t="s">
        <v>106</v>
      </c>
      <c r="B22" s="28" t="s">
        <v>107</v>
      </c>
      <c r="C22" s="29" t="s">
        <v>714</v>
      </c>
      <c r="D22" s="29" t="s">
        <v>715</v>
      </c>
      <c r="E22" s="29" t="s">
        <v>716</v>
      </c>
    </row>
    <row r="23" customFormat="false" ht="72" hidden="false" customHeight="true" outlineLevel="0" collapsed="false">
      <c r="A23" s="32" t="s">
        <v>112</v>
      </c>
      <c r="B23" s="32" t="s">
        <v>113</v>
      </c>
      <c r="C23" s="33" t="s">
        <v>717</v>
      </c>
      <c r="D23" s="33" t="s">
        <v>718</v>
      </c>
      <c r="E23" s="33" t="s">
        <v>719</v>
      </c>
    </row>
    <row r="24" customFormat="false" ht="72" hidden="false" customHeight="true" outlineLevel="0" collapsed="false">
      <c r="A24" s="28" t="s">
        <v>118</v>
      </c>
      <c r="B24" s="28" t="s">
        <v>119</v>
      </c>
      <c r="C24" s="29" t="s">
        <v>720</v>
      </c>
      <c r="D24" s="29" t="s">
        <v>721</v>
      </c>
      <c r="E24" s="29" t="s">
        <v>722</v>
      </c>
    </row>
    <row r="25" customFormat="false" ht="72" hidden="false" customHeight="true" outlineLevel="0" collapsed="false">
      <c r="A25" s="32" t="s">
        <v>124</v>
      </c>
      <c r="B25" s="32" t="s">
        <v>125</v>
      </c>
      <c r="C25" s="33" t="s">
        <v>723</v>
      </c>
      <c r="D25" s="33" t="s">
        <v>724</v>
      </c>
      <c r="E25" s="33" t="s">
        <v>725</v>
      </c>
    </row>
  </sheetData>
  <mergeCells count="14">
    <mergeCell ref="A1:E1"/>
    <mergeCell ref="A2:E2"/>
    <mergeCell ref="B3:E3"/>
    <mergeCell ref="B4:E4"/>
    <mergeCell ref="B5:E5"/>
    <mergeCell ref="B6:E6"/>
    <mergeCell ref="B7:E7"/>
    <mergeCell ref="B8:E8"/>
    <mergeCell ref="B9:E9"/>
    <mergeCell ref="B10:E10"/>
    <mergeCell ref="A11:E11"/>
    <mergeCell ref="A12:E12"/>
    <mergeCell ref="A13:E13"/>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10"/>
    <col collapsed="false" customWidth="true" hidden="false" outlineLevel="0" max="4" min="4" style="1" width="52"/>
    <col collapsed="false" customWidth="true" hidden="false" outlineLevel="0" max="5" min="5" style="1" width="30"/>
    <col collapsed="false" customWidth="true" hidden="false" outlineLevel="0" max="6" min="6" style="1" width="28"/>
  </cols>
  <sheetData>
    <row r="1" customFormat="false" ht="27.75" hidden="false" customHeight="true" outlineLevel="0" collapsed="false">
      <c r="A1" s="35" t="s">
        <v>726</v>
      </c>
      <c r="B1" s="35"/>
      <c r="C1" s="35"/>
      <c r="D1" s="35"/>
      <c r="E1" s="35"/>
      <c r="F1" s="35"/>
    </row>
    <row r="2" customFormat="false" ht="27.75" hidden="false" customHeight="true" outlineLevel="0" collapsed="false">
      <c r="A2" s="36" t="s">
        <v>727</v>
      </c>
      <c r="B2" s="36" t="s">
        <v>728</v>
      </c>
      <c r="C2" s="36" t="s">
        <v>729</v>
      </c>
      <c r="D2" s="36" t="s">
        <v>730</v>
      </c>
      <c r="E2" s="36" t="s">
        <v>731</v>
      </c>
      <c r="F2" s="36" t="s">
        <v>732</v>
      </c>
    </row>
    <row r="3" customFormat="false" ht="55.5" hidden="false" customHeight="true" outlineLevel="0" collapsed="false">
      <c r="A3" s="59" t="s">
        <v>733</v>
      </c>
      <c r="B3" s="59" t="s">
        <v>734</v>
      </c>
      <c r="C3" s="60" t="s">
        <v>735</v>
      </c>
      <c r="D3" s="59" t="s">
        <v>736</v>
      </c>
      <c r="E3" s="59" t="s">
        <v>737</v>
      </c>
      <c r="F3" s="59" t="s">
        <v>164</v>
      </c>
    </row>
    <row r="4" customFormat="false" ht="55.5" hidden="false" customHeight="true" outlineLevel="0" collapsed="false">
      <c r="A4" s="59" t="s">
        <v>733</v>
      </c>
      <c r="B4" s="59" t="s">
        <v>738</v>
      </c>
      <c r="C4" s="60" t="s">
        <v>735</v>
      </c>
      <c r="D4" s="59" t="s">
        <v>739</v>
      </c>
      <c r="E4" s="59" t="s">
        <v>737</v>
      </c>
      <c r="F4" s="59" t="s">
        <v>164</v>
      </c>
    </row>
    <row r="5" customFormat="false" ht="55.5" hidden="false" customHeight="true" outlineLevel="0" collapsed="false">
      <c r="A5" s="59" t="s">
        <v>733</v>
      </c>
      <c r="B5" s="59" t="s">
        <v>740</v>
      </c>
      <c r="C5" s="60" t="s">
        <v>735</v>
      </c>
      <c r="D5" s="59" t="s">
        <v>741</v>
      </c>
      <c r="E5" s="59" t="s">
        <v>737</v>
      </c>
      <c r="F5" s="59" t="s">
        <v>164</v>
      </c>
    </row>
    <row r="6" customFormat="false" ht="55.5" hidden="false" customHeight="true" outlineLevel="0" collapsed="false">
      <c r="A6" s="59" t="s">
        <v>733</v>
      </c>
      <c r="B6" s="59" t="s">
        <v>742</v>
      </c>
      <c r="C6" s="60" t="s">
        <v>735</v>
      </c>
      <c r="D6" s="59" t="s">
        <v>743</v>
      </c>
      <c r="E6" s="59" t="s">
        <v>744</v>
      </c>
      <c r="F6" s="59" t="s">
        <v>164</v>
      </c>
    </row>
    <row r="7" customFormat="false" ht="55.5" hidden="false" customHeight="true" outlineLevel="0" collapsed="false">
      <c r="A7" s="59" t="s">
        <v>733</v>
      </c>
      <c r="B7" s="59" t="s">
        <v>745</v>
      </c>
      <c r="C7" s="60" t="s">
        <v>735</v>
      </c>
      <c r="D7" s="59" t="s">
        <v>746</v>
      </c>
      <c r="E7" s="59" t="s">
        <v>737</v>
      </c>
      <c r="F7" s="59" t="s">
        <v>164</v>
      </c>
    </row>
    <row r="8" customFormat="false" ht="55.5" hidden="false" customHeight="true" outlineLevel="0" collapsed="false">
      <c r="A8" s="59" t="s">
        <v>733</v>
      </c>
      <c r="B8" s="59" t="s">
        <v>747</v>
      </c>
      <c r="C8" s="60" t="s">
        <v>735</v>
      </c>
      <c r="D8" s="59" t="s">
        <v>748</v>
      </c>
      <c r="E8" s="59" t="s">
        <v>737</v>
      </c>
      <c r="F8" s="59" t="s">
        <v>164</v>
      </c>
    </row>
    <row r="9" customFormat="false" ht="55.5" hidden="false" customHeight="true" outlineLevel="0" collapsed="false">
      <c r="A9" s="59" t="s">
        <v>733</v>
      </c>
      <c r="B9" s="59" t="s">
        <v>749</v>
      </c>
      <c r="C9" s="60" t="s">
        <v>735</v>
      </c>
      <c r="D9" s="59" t="s">
        <v>750</v>
      </c>
      <c r="E9" s="59" t="s">
        <v>737</v>
      </c>
      <c r="F9" s="59" t="s">
        <v>164</v>
      </c>
    </row>
    <row r="10" customFormat="false" ht="55.5" hidden="false" customHeight="true" outlineLevel="0" collapsed="false">
      <c r="A10" s="59" t="s">
        <v>733</v>
      </c>
      <c r="B10" s="59" t="s">
        <v>751</v>
      </c>
      <c r="C10" s="60" t="s">
        <v>735</v>
      </c>
      <c r="D10" s="59" t="s">
        <v>752</v>
      </c>
      <c r="E10" s="59" t="s">
        <v>737</v>
      </c>
      <c r="F10" s="59" t="s">
        <v>164</v>
      </c>
    </row>
    <row r="11" customFormat="false" ht="55.5" hidden="false" customHeight="true" outlineLevel="0" collapsed="false">
      <c r="A11" s="59" t="s">
        <v>733</v>
      </c>
      <c r="B11" s="59" t="s">
        <v>753</v>
      </c>
      <c r="C11" s="60" t="s">
        <v>735</v>
      </c>
      <c r="D11" s="59" t="s">
        <v>754</v>
      </c>
      <c r="E11" s="59" t="s">
        <v>737</v>
      </c>
      <c r="F11" s="59" t="s">
        <v>164</v>
      </c>
    </row>
    <row r="12" customFormat="false" ht="55.5" hidden="false" customHeight="true" outlineLevel="0" collapsed="false">
      <c r="A12" s="59" t="s">
        <v>755</v>
      </c>
      <c r="B12" s="59" t="s">
        <v>756</v>
      </c>
      <c r="C12" s="60" t="s">
        <v>735</v>
      </c>
      <c r="D12" s="59" t="s">
        <v>757</v>
      </c>
      <c r="E12" s="59" t="s">
        <v>737</v>
      </c>
      <c r="F12" s="59" t="s">
        <v>164</v>
      </c>
    </row>
    <row r="13" customFormat="false" ht="55.5" hidden="false" customHeight="true" outlineLevel="0" collapsed="false">
      <c r="A13" s="59" t="s">
        <v>755</v>
      </c>
      <c r="B13" s="59" t="s">
        <v>758</v>
      </c>
      <c r="C13" s="60" t="s">
        <v>735</v>
      </c>
      <c r="D13" s="59" t="s">
        <v>759</v>
      </c>
      <c r="E13" s="59" t="s">
        <v>737</v>
      </c>
      <c r="F13" s="59" t="s">
        <v>164</v>
      </c>
    </row>
    <row r="14" customFormat="false" ht="55.5" hidden="false" customHeight="true" outlineLevel="0" collapsed="false">
      <c r="A14" s="59" t="s">
        <v>755</v>
      </c>
      <c r="B14" s="59" t="s">
        <v>760</v>
      </c>
      <c r="C14" s="60" t="s">
        <v>735</v>
      </c>
      <c r="D14" s="59" t="s">
        <v>761</v>
      </c>
      <c r="E14" s="59" t="s">
        <v>737</v>
      </c>
      <c r="F14" s="59" t="s">
        <v>164</v>
      </c>
    </row>
    <row r="15" customFormat="false" ht="55.5" hidden="false" customHeight="true" outlineLevel="0" collapsed="false">
      <c r="A15" s="59" t="s">
        <v>755</v>
      </c>
      <c r="B15" s="59" t="s">
        <v>762</v>
      </c>
      <c r="C15" s="60" t="s">
        <v>735</v>
      </c>
      <c r="D15" s="59" t="s">
        <v>763</v>
      </c>
      <c r="E15" s="59" t="s">
        <v>737</v>
      </c>
      <c r="F15" s="59" t="s">
        <v>164</v>
      </c>
    </row>
    <row r="16" customFormat="false" ht="55.5" hidden="false" customHeight="true" outlineLevel="0" collapsed="false">
      <c r="A16" s="59" t="s">
        <v>755</v>
      </c>
      <c r="B16" s="59" t="s">
        <v>764</v>
      </c>
      <c r="C16" s="60" t="s">
        <v>735</v>
      </c>
      <c r="D16" s="59" t="s">
        <v>765</v>
      </c>
      <c r="E16" s="59" t="s">
        <v>766</v>
      </c>
      <c r="F16" s="59" t="s">
        <v>164</v>
      </c>
    </row>
    <row r="17" customFormat="false" ht="55.5" hidden="false" customHeight="true" outlineLevel="0" collapsed="false">
      <c r="A17" s="59" t="s">
        <v>755</v>
      </c>
      <c r="B17" s="59" t="s">
        <v>767</v>
      </c>
      <c r="C17" s="60" t="s">
        <v>735</v>
      </c>
      <c r="D17" s="59" t="s">
        <v>768</v>
      </c>
      <c r="E17" s="59" t="s">
        <v>737</v>
      </c>
      <c r="F17" s="59" t="s">
        <v>164</v>
      </c>
    </row>
    <row r="18" customFormat="false" ht="55.5" hidden="false" customHeight="true" outlineLevel="0" collapsed="false">
      <c r="A18" s="59" t="s">
        <v>755</v>
      </c>
      <c r="B18" s="59" t="s">
        <v>769</v>
      </c>
      <c r="C18" s="60" t="s">
        <v>735</v>
      </c>
      <c r="D18" s="59" t="s">
        <v>770</v>
      </c>
      <c r="E18" s="59" t="s">
        <v>737</v>
      </c>
      <c r="F18" s="59" t="s">
        <v>164</v>
      </c>
    </row>
    <row r="19" customFormat="false" ht="55.5" hidden="false" customHeight="true" outlineLevel="0" collapsed="false">
      <c r="A19" s="59" t="s">
        <v>755</v>
      </c>
      <c r="B19" s="59" t="s">
        <v>771</v>
      </c>
      <c r="C19" s="60" t="s">
        <v>735</v>
      </c>
      <c r="D19" s="59" t="s">
        <v>772</v>
      </c>
      <c r="E19" s="59" t="s">
        <v>737</v>
      </c>
      <c r="F19" s="59" t="s">
        <v>164</v>
      </c>
    </row>
    <row r="21" customFormat="false" ht="15" hidden="false" customHeight="true" outlineLevel="0" collapsed="false">
      <c r="A21" s="43" t="s">
        <v>773</v>
      </c>
      <c r="B21" s="43"/>
      <c r="C21" s="43"/>
      <c r="D21" s="43"/>
      <c r="E21" s="43"/>
      <c r="F21" s="43"/>
    </row>
    <row r="22" customFormat="false" ht="24" hidden="false" customHeight="true" outlineLevel="0" collapsed="false">
      <c r="A22" s="61" t="s">
        <v>774</v>
      </c>
      <c r="B22" s="61"/>
      <c r="C22" s="61"/>
      <c r="D22" s="61"/>
      <c r="E22" s="61"/>
      <c r="F22" s="61"/>
    </row>
    <row r="23" customFormat="false" ht="24" hidden="false" customHeight="true" outlineLevel="0" collapsed="false">
      <c r="A23" s="61" t="s">
        <v>775</v>
      </c>
      <c r="B23" s="61"/>
      <c r="C23" s="61"/>
      <c r="D23" s="61"/>
      <c r="E23" s="61"/>
      <c r="F23" s="61"/>
    </row>
    <row r="24" customFormat="false" ht="24" hidden="false" customHeight="true" outlineLevel="0" collapsed="false">
      <c r="A24" s="61" t="s">
        <v>776</v>
      </c>
      <c r="B24" s="61"/>
      <c r="C24" s="61"/>
      <c r="D24" s="61"/>
      <c r="E24" s="61"/>
      <c r="F24" s="61"/>
    </row>
    <row r="25" customFormat="false" ht="24" hidden="false" customHeight="true" outlineLevel="0" collapsed="false">
      <c r="A25" s="61" t="s">
        <v>777</v>
      </c>
      <c r="B25" s="61"/>
      <c r="C25" s="61"/>
      <c r="D25" s="61"/>
      <c r="E25" s="61"/>
      <c r="F25" s="61"/>
    </row>
  </sheetData>
  <mergeCells count="6">
    <mergeCell ref="A1:F1"/>
    <mergeCell ref="A21:F21"/>
    <mergeCell ref="A22:F22"/>
    <mergeCell ref="A23:F23"/>
    <mergeCell ref="A24:F24"/>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1" width="44"/>
    <col collapsed="false" customWidth="true" hidden="false" outlineLevel="0" max="4" min="4" style="1" width="10"/>
    <col collapsed="false" customWidth="true" hidden="false" outlineLevel="0" max="5" min="5" style="1" width="50"/>
  </cols>
  <sheetData>
    <row r="1" customFormat="false" ht="27.75" hidden="false" customHeight="true" outlineLevel="0" collapsed="false">
      <c r="A1" s="35" t="s">
        <v>778</v>
      </c>
      <c r="B1" s="35"/>
      <c r="C1" s="35"/>
      <c r="D1" s="35"/>
      <c r="E1" s="35"/>
    </row>
    <row r="2" customFormat="false" ht="27.75" hidden="false" customHeight="true" outlineLevel="0" collapsed="false">
      <c r="A2" s="36" t="s">
        <v>779</v>
      </c>
      <c r="B2" s="36" t="s">
        <v>780</v>
      </c>
      <c r="C2" s="36" t="s">
        <v>781</v>
      </c>
      <c r="D2" s="36" t="s">
        <v>729</v>
      </c>
      <c r="E2" s="36" t="s">
        <v>39</v>
      </c>
    </row>
    <row r="3" customFormat="false" ht="48" hidden="false" customHeight="true" outlineLevel="0" collapsed="false">
      <c r="A3" s="59" t="s">
        <v>782</v>
      </c>
      <c r="B3" s="59" t="s">
        <v>783</v>
      </c>
      <c r="C3" s="59" t="s">
        <v>784</v>
      </c>
      <c r="D3" s="60" t="s">
        <v>785</v>
      </c>
      <c r="E3" s="59"/>
    </row>
    <row r="4" customFormat="false" ht="48" hidden="false" customHeight="true" outlineLevel="0" collapsed="false">
      <c r="A4" s="59" t="s">
        <v>786</v>
      </c>
      <c r="B4" s="59" t="s">
        <v>787</v>
      </c>
      <c r="C4" s="59" t="s">
        <v>788</v>
      </c>
      <c r="D4" s="60" t="s">
        <v>785</v>
      </c>
      <c r="E4" s="59" t="s">
        <v>789</v>
      </c>
    </row>
    <row r="5" customFormat="false" ht="48" hidden="false" customHeight="true" outlineLevel="0" collapsed="false">
      <c r="A5" s="59" t="s">
        <v>790</v>
      </c>
      <c r="B5" s="59" t="s">
        <v>791</v>
      </c>
      <c r="C5" s="59" t="s">
        <v>785</v>
      </c>
      <c r="D5" s="60" t="s">
        <v>785</v>
      </c>
      <c r="E5" s="59"/>
    </row>
    <row r="6" customFormat="false" ht="48" hidden="false" customHeight="true" outlineLevel="0" collapsed="false">
      <c r="A6" s="59" t="s">
        <v>792</v>
      </c>
      <c r="B6" s="59" t="s">
        <v>793</v>
      </c>
      <c r="C6" s="59" t="s">
        <v>785</v>
      </c>
      <c r="D6" s="60" t="s">
        <v>785</v>
      </c>
      <c r="E6" s="59"/>
    </row>
    <row r="7" customFormat="false" ht="48" hidden="false" customHeight="true" outlineLevel="0" collapsed="false">
      <c r="A7" s="59" t="s">
        <v>794</v>
      </c>
      <c r="B7" s="59" t="s">
        <v>793</v>
      </c>
      <c r="C7" s="59" t="s">
        <v>785</v>
      </c>
      <c r="D7" s="60" t="s">
        <v>785</v>
      </c>
      <c r="E7" s="59" t="s">
        <v>795</v>
      </c>
    </row>
    <row r="8" customFormat="false" ht="48" hidden="false" customHeight="true" outlineLevel="0" collapsed="false">
      <c r="A8" s="59" t="s">
        <v>796</v>
      </c>
      <c r="B8" s="59" t="s">
        <v>793</v>
      </c>
      <c r="C8" s="59" t="s">
        <v>785</v>
      </c>
      <c r="D8" s="60" t="s">
        <v>785</v>
      </c>
      <c r="E8" s="59"/>
    </row>
    <row r="9" customFormat="false" ht="48" hidden="false" customHeight="true" outlineLevel="0" collapsed="false">
      <c r="A9" s="59" t="s">
        <v>797</v>
      </c>
      <c r="B9" s="59" t="s">
        <v>793</v>
      </c>
      <c r="C9" s="59" t="s">
        <v>785</v>
      </c>
      <c r="D9" s="60" t="s">
        <v>785</v>
      </c>
      <c r="E9" s="59"/>
    </row>
    <row r="10" customFormat="false" ht="48" hidden="false" customHeight="true" outlineLevel="0" collapsed="false">
      <c r="A10" s="59" t="s">
        <v>798</v>
      </c>
      <c r="B10" s="59" t="s">
        <v>793</v>
      </c>
      <c r="C10" s="59" t="s">
        <v>785</v>
      </c>
      <c r="D10" s="60" t="s">
        <v>785</v>
      </c>
      <c r="E10" s="59" t="s">
        <v>799</v>
      </c>
    </row>
    <row r="11" customFormat="false" ht="48" hidden="false" customHeight="true" outlineLevel="0" collapsed="false">
      <c r="A11" s="59" t="s">
        <v>800</v>
      </c>
      <c r="B11" s="59" t="s">
        <v>793</v>
      </c>
      <c r="C11" s="59" t="s">
        <v>785</v>
      </c>
      <c r="D11" s="60" t="s">
        <v>785</v>
      </c>
      <c r="E11" s="59" t="s">
        <v>801</v>
      </c>
    </row>
    <row r="12" customFormat="false" ht="48" hidden="false" customHeight="true" outlineLevel="0" collapsed="false">
      <c r="A12" s="59" t="s">
        <v>802</v>
      </c>
      <c r="B12" s="59" t="s">
        <v>793</v>
      </c>
      <c r="C12" s="59" t="s">
        <v>785</v>
      </c>
      <c r="D12" s="60" t="s">
        <v>785</v>
      </c>
      <c r="E12" s="59" t="s">
        <v>803</v>
      </c>
    </row>
    <row r="13" customFormat="false" ht="48" hidden="false" customHeight="true" outlineLevel="0" collapsed="false">
      <c r="A13" s="59" t="s">
        <v>804</v>
      </c>
      <c r="B13" s="59" t="s">
        <v>793</v>
      </c>
      <c r="C13" s="59" t="s">
        <v>785</v>
      </c>
      <c r="D13" s="60" t="s">
        <v>785</v>
      </c>
      <c r="E13" s="59" t="s">
        <v>805</v>
      </c>
    </row>
    <row r="14" customFormat="false" ht="48" hidden="false" customHeight="true" outlineLevel="0" collapsed="false">
      <c r="A14" s="59" t="s">
        <v>806</v>
      </c>
      <c r="B14" s="59" t="s">
        <v>807</v>
      </c>
      <c r="C14" s="59" t="s">
        <v>808</v>
      </c>
      <c r="D14" s="60" t="s">
        <v>785</v>
      </c>
      <c r="E14" s="59"/>
    </row>
    <row r="15" customFormat="false" ht="48" hidden="false" customHeight="true" outlineLevel="0" collapsed="false">
      <c r="A15" s="59" t="s">
        <v>809</v>
      </c>
      <c r="B15" s="59" t="s">
        <v>807</v>
      </c>
      <c r="C15" s="59" t="s">
        <v>808</v>
      </c>
      <c r="D15" s="60" t="s">
        <v>785</v>
      </c>
      <c r="E15" s="59"/>
    </row>
    <row r="16" customFormat="false" ht="48" hidden="false" customHeight="true" outlineLevel="0" collapsed="false">
      <c r="A16" s="59" t="s">
        <v>810</v>
      </c>
      <c r="B16" s="59" t="s">
        <v>807</v>
      </c>
      <c r="C16" s="59" t="s">
        <v>811</v>
      </c>
      <c r="D16" s="60" t="s">
        <v>785</v>
      </c>
      <c r="E16" s="59"/>
    </row>
    <row r="17" customFormat="false" ht="48" hidden="false" customHeight="true" outlineLevel="0" collapsed="false">
      <c r="A17" s="59" t="s">
        <v>812</v>
      </c>
      <c r="B17" s="59" t="s">
        <v>807</v>
      </c>
      <c r="C17" s="59" t="s">
        <v>808</v>
      </c>
      <c r="D17" s="60" t="s">
        <v>785</v>
      </c>
      <c r="E17" s="59"/>
    </row>
    <row r="18" customFormat="false" ht="48" hidden="false" customHeight="true" outlineLevel="0" collapsed="false">
      <c r="A18" s="59" t="s">
        <v>813</v>
      </c>
      <c r="B18" s="59" t="s">
        <v>807</v>
      </c>
      <c r="C18" s="59" t="s">
        <v>808</v>
      </c>
      <c r="D18" s="60" t="s">
        <v>785</v>
      </c>
      <c r="E18" s="59"/>
    </row>
    <row r="19" customFormat="false" ht="48" hidden="false" customHeight="true" outlineLevel="0" collapsed="false">
      <c r="A19" s="59" t="s">
        <v>814</v>
      </c>
      <c r="B19" s="59" t="s">
        <v>807</v>
      </c>
      <c r="C19" s="59" t="s">
        <v>808</v>
      </c>
      <c r="D19" s="60" t="s">
        <v>785</v>
      </c>
      <c r="E19" s="59"/>
    </row>
    <row r="20" customFormat="false" ht="48" hidden="false" customHeight="true" outlineLevel="0" collapsed="false">
      <c r="A20" s="59" t="s">
        <v>815</v>
      </c>
      <c r="B20" s="59" t="s">
        <v>816</v>
      </c>
      <c r="C20" s="59" t="s">
        <v>817</v>
      </c>
      <c r="D20" s="60" t="s">
        <v>785</v>
      </c>
      <c r="E20" s="59"/>
    </row>
    <row r="21" customFormat="false" ht="48" hidden="false" customHeight="true" outlineLevel="0" collapsed="false">
      <c r="A21" s="59" t="s">
        <v>818</v>
      </c>
      <c r="B21" s="59" t="s">
        <v>819</v>
      </c>
      <c r="C21" s="59" t="s">
        <v>820</v>
      </c>
      <c r="D21" s="60" t="s">
        <v>785</v>
      </c>
      <c r="E21" s="59"/>
    </row>
    <row r="22" customFormat="false" ht="48" hidden="false" customHeight="true" outlineLevel="0" collapsed="false">
      <c r="A22" s="59" t="s">
        <v>821</v>
      </c>
      <c r="B22" s="59" t="s">
        <v>822</v>
      </c>
      <c r="C22" s="59" t="s">
        <v>823</v>
      </c>
      <c r="D22" s="60" t="s">
        <v>785</v>
      </c>
      <c r="E22" s="59"/>
    </row>
    <row r="23" customFormat="false" ht="48" hidden="false" customHeight="true" outlineLevel="0" collapsed="false">
      <c r="A23" s="59" t="s">
        <v>824</v>
      </c>
      <c r="B23" s="59" t="s">
        <v>825</v>
      </c>
      <c r="C23" s="59" t="s">
        <v>826</v>
      </c>
      <c r="D23" s="60" t="s">
        <v>785</v>
      </c>
      <c r="E23" s="59" t="s">
        <v>827</v>
      </c>
    </row>
    <row r="24" customFormat="false" ht="48" hidden="false" customHeight="true" outlineLevel="0" collapsed="false">
      <c r="A24" s="59" t="s">
        <v>828</v>
      </c>
      <c r="B24" s="59" t="s">
        <v>829</v>
      </c>
      <c r="C24" s="59" t="s">
        <v>830</v>
      </c>
      <c r="D24" s="60" t="s">
        <v>785</v>
      </c>
      <c r="E24" s="59"/>
    </row>
    <row r="25" customFormat="false" ht="48" hidden="false" customHeight="true" outlineLevel="0" collapsed="false">
      <c r="A25" s="59" t="s">
        <v>831</v>
      </c>
      <c r="B25" s="59" t="s">
        <v>832</v>
      </c>
      <c r="C25" s="59" t="s">
        <v>833</v>
      </c>
      <c r="D25" s="60" t="s">
        <v>785</v>
      </c>
      <c r="E25" s="59"/>
    </row>
    <row r="26" customFormat="false" ht="48" hidden="false" customHeight="true" outlineLevel="0" collapsed="false">
      <c r="A26" s="62" t="s">
        <v>834</v>
      </c>
      <c r="B26" s="62" t="s">
        <v>835</v>
      </c>
      <c r="C26" s="62" t="s">
        <v>836</v>
      </c>
      <c r="D26" s="63" t="s">
        <v>785</v>
      </c>
      <c r="E26" s="62" t="s">
        <v>837</v>
      </c>
    </row>
    <row r="27" customFormat="false" ht="48" hidden="false" customHeight="true" outlineLevel="0" collapsed="false">
      <c r="A27" s="59" t="s">
        <v>838</v>
      </c>
      <c r="B27" s="59" t="s">
        <v>839</v>
      </c>
      <c r="C27" s="59" t="s">
        <v>840</v>
      </c>
      <c r="D27" s="60" t="s">
        <v>785</v>
      </c>
      <c r="E27" s="59"/>
    </row>
    <row r="28" customFormat="false" ht="48" hidden="false" customHeight="true" outlineLevel="0" collapsed="false">
      <c r="A28" s="59" t="s">
        <v>841</v>
      </c>
      <c r="B28" s="59" t="s">
        <v>842</v>
      </c>
      <c r="C28" s="59" t="s">
        <v>843</v>
      </c>
      <c r="D28" s="60" t="s">
        <v>785</v>
      </c>
      <c r="E28" s="59" t="s">
        <v>844</v>
      </c>
    </row>
    <row r="29" customFormat="false" ht="48" hidden="false" customHeight="true" outlineLevel="0" collapsed="false">
      <c r="A29" s="59" t="s">
        <v>845</v>
      </c>
      <c r="B29" s="59" t="s">
        <v>846</v>
      </c>
      <c r="C29" s="59" t="s">
        <v>847</v>
      </c>
      <c r="D29" s="60" t="s">
        <v>785</v>
      </c>
      <c r="E29" s="59"/>
    </row>
    <row r="30" customFormat="false" ht="48" hidden="false" customHeight="true" outlineLevel="0" collapsed="false">
      <c r="A30" s="59" t="s">
        <v>848</v>
      </c>
      <c r="B30" s="59" t="s">
        <v>849</v>
      </c>
      <c r="C30" s="59" t="s">
        <v>850</v>
      </c>
      <c r="D30" s="60" t="s">
        <v>785</v>
      </c>
      <c r="E30" s="59"/>
    </row>
    <row r="31" customFormat="false" ht="48" hidden="false" customHeight="true" outlineLevel="0" collapsed="false">
      <c r="A31" s="59" t="s">
        <v>851</v>
      </c>
      <c r="B31" s="59" t="s">
        <v>852</v>
      </c>
      <c r="C31" s="59" t="s">
        <v>853</v>
      </c>
      <c r="D31" s="60" t="s">
        <v>785</v>
      </c>
      <c r="E31" s="59" t="s">
        <v>854</v>
      </c>
    </row>
    <row r="32" customFormat="false" ht="48" hidden="false" customHeight="true" outlineLevel="0" collapsed="false">
      <c r="A32" s="59" t="s">
        <v>855</v>
      </c>
      <c r="B32" s="59" t="s">
        <v>856</v>
      </c>
      <c r="C32" s="59" t="s">
        <v>857</v>
      </c>
      <c r="D32" s="60" t="s">
        <v>785</v>
      </c>
      <c r="E32" s="59" t="s">
        <v>844</v>
      </c>
    </row>
    <row r="33" customFormat="false" ht="48" hidden="false" customHeight="true" outlineLevel="0" collapsed="false">
      <c r="A33" s="62" t="s">
        <v>858</v>
      </c>
      <c r="B33" s="51" t="s">
        <v>859</v>
      </c>
      <c r="C33" s="62" t="s">
        <v>860</v>
      </c>
      <c r="D33" s="64" t="s">
        <v>861</v>
      </c>
      <c r="E33" s="62" t="s">
        <v>862</v>
      </c>
    </row>
    <row r="34" customFormat="false" ht="48" hidden="false" customHeight="true" outlineLevel="0" collapsed="false">
      <c r="A34" s="59" t="s">
        <v>863</v>
      </c>
      <c r="B34" s="59" t="s">
        <v>864</v>
      </c>
      <c r="C34" s="59" t="s">
        <v>865</v>
      </c>
      <c r="D34" s="60" t="s">
        <v>785</v>
      </c>
      <c r="E34" s="59"/>
    </row>
    <row r="35" customFormat="false" ht="48" hidden="false" customHeight="true" outlineLevel="0" collapsed="false">
      <c r="A35" s="59" t="s">
        <v>866</v>
      </c>
      <c r="B35" s="59" t="s">
        <v>867</v>
      </c>
      <c r="C35" s="59" t="s">
        <v>868</v>
      </c>
      <c r="D35" s="60" t="s">
        <v>785</v>
      </c>
      <c r="E35" s="59"/>
    </row>
    <row r="36" customFormat="false" ht="48" hidden="false" customHeight="true" outlineLevel="0" collapsed="false">
      <c r="A36" s="59" t="s">
        <v>869</v>
      </c>
      <c r="B36" s="59" t="s">
        <v>870</v>
      </c>
      <c r="C36" s="59" t="s">
        <v>871</v>
      </c>
      <c r="D36" s="60" t="s">
        <v>785</v>
      </c>
      <c r="E36" s="59"/>
    </row>
    <row r="38" customFormat="false" ht="15" hidden="false" customHeight="true" outlineLevel="0" collapsed="false">
      <c r="A38" s="43" t="s">
        <v>872</v>
      </c>
      <c r="B38" s="43"/>
      <c r="C38" s="43"/>
      <c r="D38" s="43"/>
      <c r="E38" s="43"/>
    </row>
    <row r="39" customFormat="false" ht="27.75" hidden="false" customHeight="true" outlineLevel="0" collapsed="false">
      <c r="A39" s="65" t="s">
        <v>873</v>
      </c>
      <c r="B39" s="65"/>
      <c r="C39" s="65"/>
      <c r="D39" s="65"/>
      <c r="E39" s="65"/>
    </row>
    <row r="40" customFormat="false" ht="27.75" hidden="false" customHeight="true" outlineLevel="0" collapsed="false">
      <c r="A40" s="65" t="s">
        <v>874</v>
      </c>
      <c r="B40" s="65"/>
      <c r="C40" s="65"/>
      <c r="D40" s="65"/>
      <c r="E40" s="65"/>
    </row>
    <row r="41" customFormat="false" ht="27.75" hidden="false" customHeight="true" outlineLevel="0" collapsed="false">
      <c r="A41" s="66" t="s">
        <v>875</v>
      </c>
      <c r="B41" s="66"/>
      <c r="C41" s="66"/>
      <c r="D41" s="66"/>
      <c r="E41" s="66"/>
    </row>
    <row r="42" customFormat="false" ht="27.75" hidden="false" customHeight="true" outlineLevel="0" collapsed="false">
      <c r="A42" s="66" t="s">
        <v>876</v>
      </c>
      <c r="B42" s="66"/>
      <c r="C42" s="66"/>
      <c r="D42" s="66"/>
      <c r="E42" s="66"/>
    </row>
    <row r="43" customFormat="false" ht="27.75" hidden="false" customHeight="true" outlineLevel="0" collapsed="false">
      <c r="A43" s="67" t="s">
        <v>877</v>
      </c>
      <c r="B43" s="67"/>
      <c r="C43" s="67"/>
      <c r="D43" s="67"/>
      <c r="E43" s="67"/>
    </row>
    <row r="44" customFormat="false" ht="27.75" hidden="false" customHeight="true" outlineLevel="0" collapsed="false">
      <c r="A44" s="68" t="s">
        <v>878</v>
      </c>
      <c r="B44" s="68"/>
      <c r="C44" s="68"/>
      <c r="D44" s="68"/>
      <c r="E44" s="68"/>
    </row>
    <row r="46" customFormat="false" ht="21.75" hidden="false" customHeight="true" outlineLevel="0" collapsed="false">
      <c r="A46" s="69" t="s">
        <v>879</v>
      </c>
      <c r="B46" s="69"/>
      <c r="C46" s="69"/>
      <c r="D46" s="69"/>
      <c r="E46" s="69"/>
    </row>
    <row r="47" customFormat="false" ht="23.25" hidden="false" customHeight="true" outlineLevel="0" collapsed="false">
      <c r="A47" s="17" t="s">
        <v>880</v>
      </c>
      <c r="B47" s="18" t="s">
        <v>881</v>
      </c>
      <c r="C47" s="18" t="s">
        <v>882</v>
      </c>
      <c r="D47" s="18" t="s">
        <v>785</v>
      </c>
      <c r="E47" s="18" t="s">
        <v>883</v>
      </c>
    </row>
    <row r="48" customFormat="false" ht="23.25" hidden="false" customHeight="true" outlineLevel="0" collapsed="false">
      <c r="A48" s="14" t="s">
        <v>884</v>
      </c>
      <c r="B48" s="16" t="s">
        <v>885</v>
      </c>
      <c r="C48" s="16" t="s">
        <v>886</v>
      </c>
      <c r="D48" s="16" t="s">
        <v>785</v>
      </c>
      <c r="E48" s="16" t="s">
        <v>883</v>
      </c>
    </row>
    <row r="49" customFormat="false" ht="23.25" hidden="false" customHeight="true" outlineLevel="0" collapsed="false">
      <c r="A49" s="17" t="s">
        <v>887</v>
      </c>
      <c r="B49" s="18" t="s">
        <v>888</v>
      </c>
      <c r="C49" s="18" t="s">
        <v>889</v>
      </c>
      <c r="D49" s="18" t="s">
        <v>785</v>
      </c>
      <c r="E49" s="18" t="s">
        <v>890</v>
      </c>
    </row>
    <row r="50" customFormat="false" ht="15" hidden="false" customHeight="true" outlineLevel="0" collapsed="false">
      <c r="A50" s="14" t="s">
        <v>891</v>
      </c>
      <c r="B50" s="16" t="s">
        <v>892</v>
      </c>
      <c r="C50" s="16" t="s">
        <v>893</v>
      </c>
      <c r="D50" s="16" t="s">
        <v>785</v>
      </c>
      <c r="E50" s="16" t="s">
        <v>883</v>
      </c>
    </row>
    <row r="51" customFormat="false" ht="23.25" hidden="false" customHeight="true" outlineLevel="0" collapsed="false">
      <c r="A51" s="17" t="s">
        <v>894</v>
      </c>
      <c r="B51" s="18" t="s">
        <v>895</v>
      </c>
      <c r="C51" s="18" t="s">
        <v>896</v>
      </c>
      <c r="D51" s="18" t="s">
        <v>785</v>
      </c>
      <c r="E51" s="18" t="s">
        <v>883</v>
      </c>
    </row>
    <row r="52" customFormat="false" ht="23.25" hidden="false" customHeight="true" outlineLevel="0" collapsed="false">
      <c r="A52" s="14" t="s">
        <v>897</v>
      </c>
      <c r="B52" s="16" t="s">
        <v>898</v>
      </c>
      <c r="C52" s="16" t="s">
        <v>899</v>
      </c>
      <c r="D52" s="16" t="s">
        <v>785</v>
      </c>
      <c r="E52" s="16" t="s">
        <v>900</v>
      </c>
    </row>
    <row r="53" customFormat="false" ht="23.25" hidden="false" customHeight="true" outlineLevel="0" collapsed="false">
      <c r="A53" s="17" t="s">
        <v>901</v>
      </c>
      <c r="B53" s="18" t="s">
        <v>902</v>
      </c>
      <c r="C53" s="18" t="s">
        <v>903</v>
      </c>
      <c r="D53" s="18" t="s">
        <v>785</v>
      </c>
      <c r="E53" s="18" t="s">
        <v>904</v>
      </c>
    </row>
    <row r="54" customFormat="false" ht="15" hidden="false" customHeight="true" outlineLevel="0" collapsed="false">
      <c r="A54" s="14" t="s">
        <v>905</v>
      </c>
      <c r="B54" s="16" t="s">
        <v>906</v>
      </c>
      <c r="C54" s="16" t="s">
        <v>907</v>
      </c>
      <c r="D54" s="16" t="s">
        <v>785</v>
      </c>
      <c r="E54" s="16" t="s">
        <v>908</v>
      </c>
    </row>
    <row r="55" customFormat="false" ht="34.5" hidden="false" customHeight="true" outlineLevel="0" collapsed="false">
      <c r="A55" s="17" t="s">
        <v>909</v>
      </c>
      <c r="B55" s="18" t="s">
        <v>910</v>
      </c>
      <c r="C55" s="18" t="s">
        <v>911</v>
      </c>
      <c r="D55" s="18" t="s">
        <v>785</v>
      </c>
      <c r="E55" s="18" t="s">
        <v>912</v>
      </c>
    </row>
    <row r="57" customFormat="false" ht="21.75" hidden="false" customHeight="true" outlineLevel="0" collapsed="false">
      <c r="A57" s="69" t="s">
        <v>913</v>
      </c>
      <c r="B57" s="69"/>
      <c r="C57" s="69"/>
      <c r="D57" s="69"/>
      <c r="E57" s="69"/>
    </row>
    <row r="58" customFormat="false" ht="69.75" hidden="false" customHeight="true" outlineLevel="0" collapsed="false">
      <c r="A58" s="70" t="s">
        <v>914</v>
      </c>
      <c r="B58" s="70"/>
      <c r="C58" s="70"/>
      <c r="D58" s="70"/>
      <c r="E58" s="70"/>
    </row>
  </sheetData>
  <mergeCells count="11">
    <mergeCell ref="A1:E1"/>
    <mergeCell ref="A38:E38"/>
    <mergeCell ref="A39:E39"/>
    <mergeCell ref="A40:E40"/>
    <mergeCell ref="A41:E41"/>
    <mergeCell ref="A42:E42"/>
    <mergeCell ref="A43:E43"/>
    <mergeCell ref="A44:E44"/>
    <mergeCell ref="A46:E46"/>
    <mergeCell ref="A57:E57"/>
    <mergeCell ref="A58:E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38"/>
    <col collapsed="false" customWidth="true" hidden="false" outlineLevel="0" max="4" min="4" style="1" width="80"/>
  </cols>
  <sheetData>
    <row r="1" customFormat="false" ht="30" hidden="false" customHeight="true" outlineLevel="0" collapsed="false">
      <c r="A1" s="11" t="s">
        <v>915</v>
      </c>
      <c r="B1" s="11"/>
      <c r="C1" s="11"/>
      <c r="D1" s="11"/>
    </row>
    <row r="2" customFormat="false" ht="96" hidden="false" customHeight="true" outlineLevel="0" collapsed="false">
      <c r="A2" s="12" t="s">
        <v>916</v>
      </c>
      <c r="B2" s="12"/>
      <c r="C2" s="12"/>
      <c r="D2" s="12"/>
    </row>
    <row r="4" customFormat="false" ht="27.75" hidden="false" customHeight="true" outlineLevel="0" collapsed="false">
      <c r="A4" s="13" t="s">
        <v>917</v>
      </c>
      <c r="B4" s="13" t="s">
        <v>918</v>
      </c>
      <c r="C4" s="13" t="s">
        <v>919</v>
      </c>
      <c r="D4" s="13" t="s">
        <v>39</v>
      </c>
    </row>
    <row r="5" customFormat="false" ht="34.5" hidden="false" customHeight="true" outlineLevel="0" collapsed="false">
      <c r="A5" s="14" t="s">
        <v>920</v>
      </c>
      <c r="B5" s="16" t="s">
        <v>921</v>
      </c>
      <c r="C5" s="16" t="s">
        <v>922</v>
      </c>
      <c r="D5" s="16" t="s">
        <v>923</v>
      </c>
    </row>
    <row r="6" customFormat="false" ht="23.25" hidden="false" customHeight="true" outlineLevel="0" collapsed="false">
      <c r="A6" s="17" t="s">
        <v>924</v>
      </c>
      <c r="B6" s="18" t="s">
        <v>921</v>
      </c>
      <c r="C6" s="18" t="s">
        <v>922</v>
      </c>
      <c r="D6" s="18" t="s">
        <v>925</v>
      </c>
    </row>
    <row r="7" customFormat="false" ht="23.25" hidden="false" customHeight="true" outlineLevel="0" collapsed="false">
      <c r="A7" s="14" t="s">
        <v>926</v>
      </c>
      <c r="B7" s="16" t="s">
        <v>921</v>
      </c>
      <c r="C7" s="16" t="s">
        <v>927</v>
      </c>
      <c r="D7" s="16" t="s">
        <v>928</v>
      </c>
    </row>
    <row r="8" customFormat="false" ht="45.75" hidden="false" customHeight="true" outlineLevel="0" collapsed="false">
      <c r="A8" s="17" t="s">
        <v>929</v>
      </c>
      <c r="B8" s="18" t="s">
        <v>921</v>
      </c>
      <c r="C8" s="18" t="s">
        <v>930</v>
      </c>
      <c r="D8" s="18" t="s">
        <v>931</v>
      </c>
    </row>
    <row r="9" customFormat="false" ht="34.5" hidden="false" customHeight="true" outlineLevel="0" collapsed="false">
      <c r="A9" s="14" t="s">
        <v>932</v>
      </c>
      <c r="B9" s="16" t="s">
        <v>921</v>
      </c>
      <c r="C9" s="16" t="s">
        <v>933</v>
      </c>
      <c r="D9" s="16" t="s">
        <v>934</v>
      </c>
    </row>
    <row r="10" customFormat="false" ht="23.25" hidden="false" customHeight="true" outlineLevel="0" collapsed="false">
      <c r="A10" s="17" t="s">
        <v>935</v>
      </c>
      <c r="B10" s="18" t="s">
        <v>921</v>
      </c>
      <c r="C10" s="18" t="s">
        <v>936</v>
      </c>
      <c r="D10" s="18" t="s">
        <v>937</v>
      </c>
    </row>
    <row r="11" customFormat="false" ht="23.25" hidden="false" customHeight="true" outlineLevel="0" collapsed="false">
      <c r="A11" s="14" t="s">
        <v>938</v>
      </c>
      <c r="B11" s="16" t="s">
        <v>939</v>
      </c>
      <c r="C11" s="16" t="s">
        <v>940</v>
      </c>
      <c r="D11" s="16" t="s">
        <v>941</v>
      </c>
    </row>
    <row r="12" customFormat="false" ht="23.25" hidden="false" customHeight="true" outlineLevel="0" collapsed="false">
      <c r="A12" s="17" t="s">
        <v>942</v>
      </c>
      <c r="B12" s="18" t="s">
        <v>943</v>
      </c>
      <c r="C12" s="18" t="s">
        <v>944</v>
      </c>
      <c r="D12" s="18" t="s">
        <v>945</v>
      </c>
    </row>
    <row r="13" customFormat="false" ht="23.25" hidden="false" customHeight="true" outlineLevel="0" collapsed="false">
      <c r="A13" s="14" t="s">
        <v>946</v>
      </c>
      <c r="B13" s="16" t="s">
        <v>947</v>
      </c>
      <c r="C13" s="16" t="s">
        <v>948</v>
      </c>
      <c r="D13" s="16" t="s">
        <v>949</v>
      </c>
    </row>
    <row r="14" customFormat="false" ht="34.5" hidden="false" customHeight="true" outlineLevel="0" collapsed="false">
      <c r="A14" s="17" t="s">
        <v>950</v>
      </c>
      <c r="B14" s="18" t="s">
        <v>921</v>
      </c>
      <c r="C14" s="18" t="s">
        <v>948</v>
      </c>
      <c r="D14" s="18" t="s">
        <v>951</v>
      </c>
    </row>
    <row r="15" customFormat="false" ht="23.25" hidden="false" customHeight="true" outlineLevel="0" collapsed="false">
      <c r="A15" s="14" t="s">
        <v>952</v>
      </c>
      <c r="B15" s="16" t="s">
        <v>953</v>
      </c>
      <c r="C15" s="16" t="s">
        <v>954</v>
      </c>
      <c r="D15" s="16" t="s">
        <v>955</v>
      </c>
    </row>
    <row r="16" customFormat="false" ht="34.5" hidden="false" customHeight="true" outlineLevel="0" collapsed="false">
      <c r="A16" s="17" t="s">
        <v>956</v>
      </c>
      <c r="B16" s="18" t="s">
        <v>953</v>
      </c>
      <c r="C16" s="18" t="s">
        <v>957</v>
      </c>
      <c r="D16" s="18" t="s">
        <v>958</v>
      </c>
    </row>
    <row r="17" customFormat="false" ht="34.5" hidden="false" customHeight="true" outlineLevel="0" collapsed="false">
      <c r="A17" s="14" t="s">
        <v>959</v>
      </c>
      <c r="B17" s="16" t="s">
        <v>953</v>
      </c>
      <c r="C17" s="16" t="s">
        <v>960</v>
      </c>
      <c r="D17" s="16" t="s">
        <v>961</v>
      </c>
    </row>
    <row r="18" customFormat="false" ht="34.5" hidden="false" customHeight="true" outlineLevel="0" collapsed="false">
      <c r="A18" s="17" t="s">
        <v>962</v>
      </c>
      <c r="B18" s="18" t="s">
        <v>953</v>
      </c>
      <c r="C18" s="18" t="s">
        <v>963</v>
      </c>
      <c r="D18" s="18" t="s">
        <v>964</v>
      </c>
    </row>
    <row r="19" customFormat="false" ht="23.25" hidden="false" customHeight="true" outlineLevel="0" collapsed="false">
      <c r="A19" s="14" t="s">
        <v>965</v>
      </c>
      <c r="B19" s="16" t="s">
        <v>953</v>
      </c>
      <c r="C19" s="16" t="s">
        <v>966</v>
      </c>
      <c r="D19" s="16" t="s">
        <v>967</v>
      </c>
    </row>
    <row r="20" customFormat="false" ht="34.5" hidden="false" customHeight="true" outlineLevel="0" collapsed="false">
      <c r="A20" s="17" t="s">
        <v>968</v>
      </c>
      <c r="B20" s="18" t="s">
        <v>953</v>
      </c>
      <c r="C20" s="18" t="s">
        <v>969</v>
      </c>
      <c r="D20" s="18" t="s">
        <v>970</v>
      </c>
    </row>
    <row r="22" customFormat="false" ht="25.5" hidden="false" customHeight="true" outlineLevel="0" collapsed="false">
      <c r="A22" s="71" t="s">
        <v>971</v>
      </c>
      <c r="B22" s="71"/>
      <c r="C22" s="71"/>
      <c r="D22" s="71"/>
    </row>
    <row r="23" customFormat="false" ht="109.5" hidden="false" customHeight="true" outlineLevel="0" collapsed="false">
      <c r="A23" s="72" t="s">
        <v>972</v>
      </c>
      <c r="B23" s="73" t="s">
        <v>973</v>
      </c>
      <c r="C23" s="73" t="s">
        <v>974</v>
      </c>
      <c r="D23" s="73" t="s">
        <v>975</v>
      </c>
    </row>
    <row r="24" customFormat="false" ht="109.5" hidden="false" customHeight="true" outlineLevel="0" collapsed="false">
      <c r="A24" s="72" t="s">
        <v>976</v>
      </c>
      <c r="B24" s="73" t="s">
        <v>973</v>
      </c>
      <c r="C24" s="73" t="s">
        <v>977</v>
      </c>
      <c r="D24" s="73" t="s">
        <v>978</v>
      </c>
    </row>
    <row r="25" customFormat="false" ht="109.5" hidden="false" customHeight="true" outlineLevel="0" collapsed="false">
      <c r="A25" s="72" t="s">
        <v>979</v>
      </c>
      <c r="B25" s="73" t="s">
        <v>973</v>
      </c>
      <c r="C25" s="73" t="s">
        <v>980</v>
      </c>
      <c r="D25" s="73" t="s">
        <v>981</v>
      </c>
    </row>
    <row r="26" customFormat="false" ht="46.25" hidden="false" customHeight="false" outlineLevel="0" collapsed="false">
      <c r="A26" s="73" t="s">
        <v>982</v>
      </c>
      <c r="B26" s="73" t="s">
        <v>983</v>
      </c>
      <c r="C26" s="73" t="s">
        <v>984</v>
      </c>
    </row>
  </sheetData>
  <mergeCells count="3">
    <mergeCell ref="A1:D1"/>
    <mergeCell ref="A2:D2"/>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2026-04-25T02:08:17Z</dcterms:created>
  <dc:creator>openpyxl</dc:creator>
  <dc:description/>
  <dc:language>en-US</dc:language>
  <cp:lastModifiedBy/>
  <dcterms:modified xsi:type="dcterms:W3CDTF">2026-05-06T15:14:27Z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
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VENANCE" sheetId="1" state="visible" r:id="rId3"/>
    <sheet name="SEALED_PREDICTIONS" sheetId="2" state="visible" r:id="rId4"/>
    <sheet name="VERIFICATION_LOG" sheetId="3" state="visible" r:id="rId5"/>
    <sheet name="CALIBRATION_LOG" sheetId="4" state="visible" r:id="rId6"/>
    <sheet name="ACCURACY_DASHBOARD" sheetId="5" state="visible" r:id="rId7"/>
    <sheet name="AGENT_READ_INSTRUCTIONS" sheetId="6" state="visible" r:id="rId8"/>
    <sheet name="Eli_Lilly_Ventyx_Canonical" sheetId="7" state="visible" r:id="rId9"/>
    <sheet name="Schema_Methodology_Dependencies" sheetId="8" state="visible" r:id="rId10"/>
    <sheet name="v3_1_Build_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<sst xmlns="http://schemas.openxmlformats.org/spreadsheetml/2006/main" count="466" uniqueCount="364">
  <si>
    <t xml:space="preserve">STRUCTURAL TYPOLOGY  |  Prediction Ledger  |  v1.0</t>
  </si>
  <si>
    <t xml:space="preserve">File name</t>
  </si>
  <si>
    <t xml:space="preserve">ST_Prediction_Ledger_v1.xlsx</t>
  </si>
  <si>
    <t xml:space="preserve">Build stage</t>
  </si>
  <si>
    <t xml:space="preserve">Block 1 / File 5  |  Verification and calibration layer. Final file in the Block 1 build sequence.</t>
  </si>
  <si>
    <t xml:space="preserve">File purpose</t>
  </si>
  <si>
    <t xml:space="preserve">Maintains the sealed, timestamped record of all predictions made at Step 3 and their verified outcomes. Serves three simultaneous functions: (1) commercial credibility mechanism — sealed predictions with documented verification outcomes are the primary trust signal for institutional clients; (2) calibration data source — verified outcomes feed BASE_RATES in ST_Transition_Rate_Engine_v1.xlsx after N&gt;=5 cases per function type; (3) model accuracy tracking — ACCURACY_DASHBOARD produces the quantitative accuracy record that answers the question 'who audited your formulas?'</t>
  </si>
  <si>
    <t xml:space="preserve">Three prediction types per deal</t>
  </si>
  <si>
    <t xml:space="preserve">Prediction 1: First signal — specific signal code + observation context + week window. Prediction 2: Transition rate — central months + confidence band. Prediction 3: Departure window — TR central + 6 months (minimum window for key departure risk).</t>
  </si>
  <si>
    <t xml:space="preserve">Verification checkpoints</t>
  </si>
  <si>
    <t xml:space="preserve">Month 6 and Month 12 post-close. Both checkpoints required for a case to be counted as fully verified.</t>
  </si>
  <si>
    <t xml:space="preserve">Calibration trigger</t>
  </si>
  <si>
    <t xml:space="preserve">After N=5 verified cases for a given dominant function: compute running average of actual observed transition times. Update BASE_RATES in ST_Transition_Rate_Engine_v1.xlsx with calibrated average. Record update in CALIBRATION_LOG sheet of this file. After N=10 verified cases: narrow confidence band from [x0.75, x1.25] to [x0.85, x1.15] for that function type row in CALC_OUTPUT.</t>
  </si>
  <si>
    <t xml:space="preserve">Immutability rule</t>
  </si>
  <si>
    <t xml:space="preserve">LEDGER and SEALED_PREDICTIONS sheets are append-only. No row may be deleted or modified after status = SEALED. If a prediction was wrong: document the actual outcome in VERIFICATION_LOG. Do not alter the original prediction. The ledger value is in its completeness, including errors.</t>
  </si>
  <si>
    <t xml:space="preserve">Upstream inputs</t>
  </si>
  <si>
    <t xml:space="preserve">ST_Transition_Rate_Engine_v1.xlsx PREDICTION_REGISTER: sealed predictions (copied here at seal time). Client engagement data at Month 6 and Month 12 verification checkpoints.</t>
  </si>
  <si>
    <t xml:space="preserve">Downstream consumers</t>
  </si>
  <si>
    <t xml:space="preserve">ST_Transition_Rate_Engine_v1.xlsx BASE_RATES: calibration updates after N&gt;=5. Commercial presentations: ACCURACY_DASHBOARD is the primary institutional credibility exhibit.</t>
  </si>
  <si>
    <t xml:space="preserve">Authority level</t>
  </si>
  <si>
    <t xml:space="preserve">Level 3 additive. This file does not override any theoretical corpus file.</t>
  </si>
  <si>
    <t xml:space="preserve">Audit status</t>
  </si>
  <si>
    <t xml:space="preserve">ACTIVE — append entries for every sealed prediction. This file grows with each engagement.</t>
  </si>
  <si>
    <t xml:space="preserve">Version</t>
  </si>
  <si>
    <t xml:space="preserve">1.0  |  April 2026</t>
  </si>
  <si>
    <t xml:space="preserve">SEALED PREDICTIONS  |  Append-only  |  Copied from ST_Transition_Rate_Engine_v1.xlsx PREDICTION_REGISTER at seal time  |  v3.1: extended with evidence-confidence stamp columns 11-15 (per Phase 3 brief)</t>
  </si>
  <si>
    <t xml:space="preserve">IMMUTABILITY RULE: no row may be deleted or modified after Status = SEALED. Copy predictions from ST_Transition_Rate_Engine_v1.xlsx PREDICTION_REGISTER at seal time. v3.1: ALSO copy evidence-confidence stamp at seal time (columns 11-15) — these capture the Layer 3 Confidence Gate verdict and supporting evidence-quality metrics at the moment of sealing. Per Phase 3 brief: "each prediction carries the evidence-confidence stamp at issue time" — this is what makes the Eli Lilly / Ventyx sealed prediction and all future sealed predictions forward-verifiable on TWO axes: (a) was the prediction correct? (b) was the confidence assignment well-calibrated?</t>
  </si>
  <si>
    <t xml:space="preserve">Deal ID</t>
  </si>
  <si>
    <t xml:space="preserve">ECS Pair
(acq x tgt)</t>
  </si>
  <si>
    <t xml:space="preserve">Primary
Actor Type</t>
  </si>
  <si>
    <t xml:space="preserve">Dom.
Function</t>
  </si>
  <si>
    <t xml:space="preserve">Prediction 1
(First signal — code + context + week window)</t>
  </si>
  <si>
    <t xml:space="preserve">Prediction 2
(Transition rate — central + CB range)</t>
  </si>
  <si>
    <t xml:space="preserve">Prediction 3
(Departure window)</t>
  </si>
  <si>
    <t xml:space="preserve">Falsification condition
(what would falsify Prediction 2)</t>
  </si>
  <si>
    <t xml:space="preserve">Sealed
(timestamp)</t>
  </si>
  <si>
    <t xml:space="preserve">Status</t>
  </si>
  <si>
    <t xml:space="preserve">confidence_at_seal
(high / medium /
low / cannot_determine)</t>
  </si>
  <si>
    <t xml:space="preserve">evidence_quality_at_seal
(% direct-observation
share)</t>
  </si>
  <si>
    <t xml:space="preserve">reliability_flag_rate_at_seal
(% of answers with
any flag)</t>
  </si>
  <si>
    <t xml:space="preserve">confidence_gate_verdict_at_seal
(5/5, 4/5, 3/5,
2/5, 1/5, 0/5)</t>
  </si>
  <si>
    <t xml:space="preserve">contradiction_count_at_seal
(open Contradiction
records at seal)</t>
  </si>
  <si>
    <t xml:space="preserve">DEAL-001</t>
  </si>
  <si>
    <t xml:space="preserve">NT/STJ x SFJ/SFP</t>
  </si>
  <si>
    <t xml:space="preserve">INTJ</t>
  </si>
  <si>
    <t xml:space="preserve">Ni1</t>
  </si>
  <si>
    <t xml:space="preserve">J-05 (Selective topic avoidance) in strategic meetings — expected weeks 6-10 post-close</t>
  </si>
  <si>
    <t xml:space="preserve">Transition NATURAL-&gt;FUNCTIONAL expected in 13.5–22.5 months (central: 18.0 months)</t>
  </si>
  <si>
    <t xml:space="preserve">Key departure window: months 19-30 post-close (central TR 18 months + 6)</t>
  </si>
  <si>
    <t xml:space="preserve">If J-05 absent by week 12: PM over-estimated for Ni1 in this environment class — reduce baseline multiplier</t>
  </si>
  <si>
    <t xml:space="preserve">2026-04-20 09:00</t>
  </si>
  <si>
    <t xml:space="preserve">SEALED</t>
  </si>
  <si>
    <t xml:space="preserve">high</t>
  </si>
  <si>
    <t xml:space="preserve">72%</t>
  </si>
  <si>
    <t xml:space="preserve">12%</t>
  </si>
  <si>
    <t xml:space="preserve">5/5</t>
  </si>
  <si>
    <t xml:space="preserve">0</t>
  </si>
  <si>
    <t xml:space="preserve">[EXAMPLE ROW ABOVE — replace with actual sealed predictions. Add one row per deal. v3.1: columns 11-15 are evidence-confidence stamp at seal time — capture before sealing.]</t>
  </si>
  <si>
    <t xml:space="preserve">VERIFICATION LOG  |  Month 6 and Month 12 outcomes  |  One row per prediction per checkpoint  |  v3.1: column 14 recalls confidence_at_seal for confidence-calibration analysis</t>
  </si>
  <si>
    <t xml:space="preserve">For each sealed prediction: enter a verification row at Month 6 AND Month 12 post-close. Outcome codes: CONFIRMED (prediction correct within CB), PARTIAL (direction correct, magnitude off), FALSIFIED (prediction wrong), PENDING (window not yet reached). v3.1: column 14 recalls the confidence_at_seal value from SEALED_PREDICTIONS col 11 — enables the calibration analysis "do high-confidence predictions actually verify better than low-confidence predictions?" This is the methodology's self-correction mechanism: if low-confidence predictions verify at the same rate as high-confidence ones, the Confidence Gate criteria need recalibration.</t>
  </si>
  <si>
    <t xml:space="preserve">ECS Pair</t>
  </si>
  <si>
    <t xml:space="preserve">Checkpoint
(Month 6 / 12)</t>
  </si>
  <si>
    <t xml:space="preserve">Prediction #
(1, 2, or 3)</t>
  </si>
  <si>
    <t xml:space="preserve">Prediction
(verbatim from Ledger)</t>
  </si>
  <si>
    <t xml:space="preserve">Actual outcome
(what was observed)</t>
  </si>
  <si>
    <t xml:space="preserve">Outcome code</t>
  </si>
  <si>
    <t xml:space="preserve">Deviation
(if applicable)</t>
  </si>
  <si>
    <t xml:space="preserve">Actual TR
(months, if P2)</t>
  </si>
  <si>
    <t xml:space="preserve">Predicted TR
(months, if P2)</t>
  </si>
  <si>
    <t xml:space="preserve">Error direction
(PM too high / low / correct)</t>
  </si>
  <si>
    <t xml:space="preserve">Notes / context</t>
  </si>
  <si>
    <t xml:space="preserve">confidence_at_seal
(recalled from
SEALED_PREDICTIONS
col 11)</t>
  </si>
  <si>
    <t xml:space="preserve">Month 6</t>
  </si>
  <si>
    <t xml:space="preserve">2</t>
  </si>
  <si>
    <t xml:space="preserve">Transition NATURAL-&gt;FUNCTIONAL in 13.5-22.5 months (central: 18)</t>
  </si>
  <si>
    <t xml:space="preserve">INTJ lead stopped initiating forward agenda items by week 8. No formal category transition observed yet (expected mo 14-23).</t>
  </si>
  <si>
    <t xml:space="preserve">CONFIRMED</t>
  </si>
  <si>
    <t xml:space="preserve">Within CB — transition not yet due</t>
  </si>
  <si>
    <t xml:space="preserve">—</t>
  </si>
  <si>
    <t xml:space="preserve">18.0</t>
  </si>
  <si>
    <t xml:space="preserve">PM correct — within expected window</t>
  </si>
  <si>
    <t xml:space="preserve">J-05 signal confirmed week 8. On track.</t>
  </si>
  <si>
    <t xml:space="preserve">[EXAMPLE ROW — replace with actual verification entries. Add one row per prediction per checkpoint. v3.1: column 14 (confidence_at_seal) recalled from SEALED_PREDICTIONS col 11 — enables analysis of whether high-confidence predictions verify better than low-confidence predictions.]</t>
  </si>
  <si>
    <t xml:space="preserve">CALIBRATION LOG  |  Running averages per dominant function  |  Feeds BASE_RATES in ST_Transition_Rate_Engine_v1.xlsx</t>
  </si>
  <si>
    <t xml:space="preserve">After each CONFIRMED or PARTIAL Prediction 2 outcome: add a row to this log. When N_confirmed reaches 5 for any function-transition pair: compute running average and update the corresponding cell in ST_Transition_Rate_Engine_v1.xlsx BASE_RATES. Mark UPDATE_APPLIED = YES. When N_confirmed reaches 10: also narrow the CB band in CALC_OUTPUT from [x0.75,x1.25] to [x0.85,x1.15].</t>
  </si>
  <si>
    <t xml:space="preserve">Transition
Category</t>
  </si>
  <si>
    <t xml:space="preserve">Predicted TR
(months)</t>
  </si>
  <si>
    <t xml:space="preserve">Actual TR
(months)</t>
  </si>
  <si>
    <t xml:space="preserve">Error
(actual-predicted)</t>
  </si>
  <si>
    <t xml:space="preserve">N confirmed
(running)</t>
  </si>
  <si>
    <t xml:space="preserve">Running avg
(actual TR)</t>
  </si>
  <si>
    <t xml:space="preserve">Update applied to
BASE_RATES</t>
  </si>
  <si>
    <t xml:space="preserve">CALIBRATION STATUS TABLE  |  N counter per function x transition  |  Update N after each CONFIRMED verification</t>
  </si>
  <si>
    <t xml:space="preserve">Dom. Function</t>
  </si>
  <si>
    <t xml:space="preserve">NAT-&gt;FUNC
N confirmed</t>
  </si>
  <si>
    <t xml:space="preserve">NAT-&gt;FUNC
Current avg</t>
  </si>
  <si>
    <t xml:space="preserve">FUNC-&gt;STRESS
N confirmed</t>
  </si>
  <si>
    <t xml:space="preserve">FUNC-&gt;STRESS
Current avg</t>
  </si>
  <si>
    <t xml:space="preserve">STRESS-&gt;RISK
N confirmed</t>
  </si>
  <si>
    <t xml:space="preserve">STRESS-&gt;RISK
Current avg</t>
  </si>
  <si>
    <t xml:space="preserve">RISK-&gt;TOXIC
N confirmed</t>
  </si>
  <si>
    <t xml:space="preserve">RISK-&gt;TOXIC
Current avg</t>
  </si>
  <si>
    <t xml:space="preserve">Te1</t>
  </si>
  <si>
    <t xml:space="preserve">Ti1</t>
  </si>
  <si>
    <t xml:space="preserve">Ne1</t>
  </si>
  <si>
    <t xml:space="preserve">Fe1</t>
  </si>
  <si>
    <t xml:space="preserve">Se1</t>
  </si>
  <si>
    <t xml:space="preserve">Si1</t>
  </si>
  <si>
    <t xml:space="preserve">Fi1</t>
  </si>
  <si>
    <t xml:space="preserve">CALIBRATION ACTIONS  |  Triggered by N counter in status table</t>
  </si>
  <si>
    <t xml:space="preserve">When N=5 for any cell</t>
  </si>
  <si>
    <t xml:space="preserve">1. Filter CALIBRATION_LOG for that function + transition combination. 2. Compute average of Actual TR column. 3. Open ST_Transition_Rate_Engine_v1.xlsx BASE_RATES. 4. Replace the yellow prior value with the computed average. Change cell background to green. 5. Enter YES in Update_Applied column of this log for all contributing rows. 6. Update N counter in STATUS TABLE above.</t>
  </si>
  <si>
    <t xml:space="preserve">When N=10 for any cell</t>
  </si>
  <si>
    <t xml:space="preserve">All N=5 actions apply, plus: open ST_Transition_Rate_Engine_v1.xlsx CALC_OUTPUT. For each actor row where Dom.Function matches: update CB Lower formula from x0.75 to x0.85 and CB Upper from x1.25 to x1.15. Document the update here with date and deal IDs used.</t>
  </si>
  <si>
    <t xml:space="preserve">When N=3 with all FALSIFIED outcomes</t>
  </si>
  <si>
    <t xml:space="preserve">Methodology review required before further use of that function-transition pair. Flag in ACCURACY_DASHBOARD. Do not update BASE_RATES until falsification pattern is diagnosed. Common cause: baseline pressure assumption [2,2,2,2,2] may be miscalibrated for this environment class.</t>
  </si>
  <si>
    <t xml:space="preserve">CALIBRATION ENTRIES  |  One row per CONFIRMED or PARTIAL Prediction 2 outcome</t>
  </si>
  <si>
    <t xml:space="preserve">N
(running)</t>
  </si>
  <si>
    <t xml:space="preserve">Update applied?</t>
  </si>
  <si>
    <t xml:space="preserve">NATURAL-&gt;FUNCTIONAL</t>
  </si>
  <si>
    <t xml:space="preserve">NO</t>
  </si>
  <si>
    <t xml:space="preserve">[EXAMPLE ROW — add rows as verification outcomes are confirmed. Pending actual TR stays — until Month 12 confirmed.]</t>
  </si>
  <si>
    <t xml:space="preserve">ACCURACY DASHBOARD  |  Commercial credibility exhibit  |  Update after each verification checkpoint</t>
  </si>
  <si>
    <t xml:space="preserve">This sheet is the primary institutional credibility exhibit. It answers the question: how accurate are the predictions? Share with institutional clients and investors as evidence of model validity. All figures in this sheet derive from VERIFICATION_LOG — never hardcode.</t>
  </si>
  <si>
    <t xml:space="preserve">OVERALL PREDICTION ACCURACY  |  All predictions, all checkpoints</t>
  </si>
  <si>
    <t xml:space="preserve">Total sealed predictions</t>
  </si>
  <si>
    <t xml:space="preserve">Enter manually after verification rounds</t>
  </si>
  <si>
    <t xml:space="preserve">Total verified predictions</t>
  </si>
  <si>
    <t xml:space="preserve">Auto-calculated from VERIFICATION_LOG col H (excludes PENDING rows)</t>
  </si>
  <si>
    <t xml:space="preserve">Prediction 1 accuracy (first signal)</t>
  </si>
  <si>
    <t xml:space="preserve">CONFIRMED+PARTIAL / (CONFIRMED+PARTIAL+FALSIFIED) for Prediction 1 rows</t>
  </si>
  <si>
    <t xml:space="preserve">Prediction 2 accuracy (transition rate)</t>
  </si>
  <si>
    <t xml:space="preserve">CONFIRMED within CB / (CONFIRMED+PARTIAL+FALSIFIED) for Prediction 2 rows — CB accuracy measure</t>
  </si>
  <si>
    <t xml:space="preserve">Prediction 3 accuracy (departure window)</t>
  </si>
  <si>
    <t xml:space="preserve">CONFIRMED+PARTIAL / (CONFIRMED+PARTIAL+FALSIFIED) for Prediction 3 rows</t>
  </si>
  <si>
    <t xml:space="preserve">Overall accuracy (all P, all checkpoints)</t>
  </si>
  <si>
    <t xml:space="preserve">Overall: (CONFIRMED+PARTIAL) / (CONFIRMED+PARTIAL+FALSIFIED) — primary institutional exhibit figure</t>
  </si>
  <si>
    <t xml:space="preserve">Average Prediction 2 error (months)</t>
  </si>
  <si>
    <t xml:space="preserve">Manual entry required</t>
  </si>
  <si>
    <t xml:space="preserve">Avg P2 error: compute from CALIBRATION_LOG col F (Error = actual-predicted). Requires numeric Actual TR entry in CALIBRATION_LOG — not formula-derivable from free-text VERIFICATION_LOG col J.</t>
  </si>
  <si>
    <t xml:space="preserve">PM calibration status</t>
  </si>
  <si>
    <t xml:space="preserve">PM calibration status: manually note which function-transition pairs have N&gt;=5 calibrated cases. Read from CALIBRATION_LOG STATUS TABLE.</t>
  </si>
  <si>
    <t xml:space="preserve">ACCURACY BY DOMINANT FUNCTION  |  Prediction 2 (transition rate) only</t>
  </si>
  <si>
    <t xml:space="preserve">N sealed</t>
  </si>
  <si>
    <t xml:space="preserve">N verified</t>
  </si>
  <si>
    <t xml:space="preserve">N confirmed</t>
  </si>
  <si>
    <t xml:space="preserve">N partial</t>
  </si>
  <si>
    <t xml:space="preserve">N falsified</t>
  </si>
  <si>
    <t xml:space="preserve">CB accuracy %
(confirmed/verified)</t>
  </si>
  <si>
    <t xml:space="preserve">Notes</t>
  </si>
  <si>
    <t xml:space="preserve">Update after each checkpoint</t>
  </si>
  <si>
    <t xml:space="preserve">SEALED PREDICTION SHOWCASE  |  For institutional client and investor presentations</t>
  </si>
  <si>
    <t xml:space="preserve">The following section is the client-facing credibility exhibit. Shows: deal pair, prediction made, date sealed, date verified, outcome. Anonymise deal ID for public/investor use. Never show client-identifying information externally.</t>
  </si>
  <si>
    <t xml:space="preserve">Deal ref
(anonymised)</t>
  </si>
  <si>
    <t xml:space="preserve">ECS pair</t>
  </si>
  <si>
    <t xml:space="preserve">Prediction 2
(transition rate)</t>
  </si>
  <si>
    <t xml:space="preserve">Date sealed</t>
  </si>
  <si>
    <t xml:space="preserve">Checkpoint</t>
  </si>
  <si>
    <t xml:space="preserve">Actual outcome</t>
  </si>
  <si>
    <t xml:space="preserve">Credibility note</t>
  </si>
  <si>
    <t xml:space="preserve">DEAL-A</t>
  </si>
  <si>
    <t xml:space="preserve">Transition NATURAL-&gt;FUNC in 13.5-22.5 months (central: 18)</t>
  </si>
  <si>
    <t xml:space="preserve">2026-04-20</t>
  </si>
  <si>
    <t xml:space="preserve">Signal confirmed week 8. Transition on track for predicted window.</t>
  </si>
  <si>
    <t xml:space="preserve">Sealed before delivery. Verified independently at Month 6.</t>
  </si>
  <si>
    <t xml:space="preserve">[Add verified cases here for institutional presentation. One row per verified prediction.]</t>
  </si>
  <si>
    <t xml:space="preserve">AGENT READ INSTRUCTIONS  |  Step 15.5 sealing protocol + verification and calibration workflow</t>
  </si>
  <si>
    <t xml:space="preserve">When to use this file</t>
  </si>
  <si>
    <t xml:space="preserve">Step 15.5 — after CLIENT_OUTPUT is assembled in ST_Step3_Enhanced_Output_v1.xlsx and BEFORE delivering to the client. Also used at Month 6 and Month 12 post-close verification checkpoints. Also used after N&gt;=5 verified cases to trigger calibration updates.</t>
  </si>
  <si>
    <t xml:space="preserve">Step 15.5 — Seal (before delivery)</t>
  </si>
  <si>
    <t xml:space="preserve">1. Open ST_Transition_Rate_Engine_v1.xlsx PREDICTION_REGISTER. Confirm all 10 columns of the deal row are complete. 2. Copy the row (values only — not formulas). 3. Open SEALED_PREDICTIONS sheet of this file. Append the row to the next empty row. 4. Return to ST_Transition_Rate_Engine_v1.xlsx PREDICTION_REGISTER. Enter timestamp in col I. Set col J = SEALED. 5. Only after status = SEALED: deliver CLIENT_OUTPUT to client.</t>
  </si>
  <si>
    <t xml:space="preserve">Month 6 verification — Prediction 1 (first signal)</t>
  </si>
  <si>
    <t xml:space="preserve">Contact client or review available data: was the predicted signal code observed in the predicted context within the predicted week window? Open VERIFICATION_LOG. Add one row: Deal ID, Ni1 (or relevant function), ECS pair, Month 6, Prediction 1. Enter actual outcome in plain language. Select outcome code from dropdown: CONFIRMED / PARTIAL / FALSIFIED / INSUFFICIENT_DATA.</t>
  </si>
  <si>
    <t xml:space="preserve">Month 6 verification — Prediction 2 (transition rate)</t>
  </si>
  <si>
    <t xml:space="preserve">Has a category transition been observed? If yes: enter actual months elapsed in Actual TR column. If no and prediction window has not yet been reached: enter PENDING. If no and prediction window has passed: enter FALSIFIED and document actual state.</t>
  </si>
  <si>
    <t xml:space="preserve">Month 12 verification — Prediction 3 (departure window)</t>
  </si>
  <si>
    <t xml:space="preserve">Have key personnel departures occurred in the predicted window? Count senior departures (VP level and above). Enter outcome in VERIFICATION_LOG. If CONFIRMED or PARTIAL: add a row to CALIBRATION_LOG for Prediction 2.</t>
  </si>
  <si>
    <t xml:space="preserve">Calibration update (when N=5)</t>
  </si>
  <si>
    <t xml:space="preserve">Filter CALIBRATION_LOG for the relevant Dom.Function + Transition category. Compute average of Actual TR column (excluding PENDING rows). Open ST_Transition_Rate_Engine_v1.xlsx BASE_RATES. Replace the yellow prior value with the computed average. Change cell background to green. Return to CALIBRATION_LOG: update N_confirmed counter in STATUS TABLE. Enter YES in Update_Applied column. Update ACCURACY_DASHBOARD function row with new N counts.</t>
  </si>
  <si>
    <t xml:space="preserve">Calibration update (when N=10)</t>
  </si>
  <si>
    <t xml:space="preserve">All N=5 actions plus: open ST_Transition_Rate_Engine_v1.xlsx CALC_OUTPUT. For each actor row where Dom.Function matches the calibrated function: change CB Lower coefficient from 0.75 to 0.85 and CB Upper from 1.25 to 1.15 in the formula. Document the update in CALIBRATION_LOG with date and contributing deal IDs.</t>
  </si>
  <si>
    <t xml:space="preserve">Updating ACCURACY_DASHBOARD</t>
  </si>
  <si>
    <t xml:space="preserve">After every verification round: manually update the per-function accuracy table. Increment N_verified, N_confirmed, N_partial, or N_falsified as appropriate. The CB_accuracy % formula auto-calculates. Update overall stats section with aggregate figures. This sheet is the primary exhibit for institutional client credibility — keep it current.</t>
  </si>
  <si>
    <t xml:space="preserve">Immutability enforcement</t>
  </si>
  <si>
    <t xml:space="preserve">If an error is found in a sealed prediction row: do not delete or modify the row. Add a correction note in the rightmost column of the SEALED_PREDICTIONS row. Document in VERIFICATION_LOG with outcome = FALSIFIED and note: 'prediction contained error — see note'. The integrity of the ledger requires that all errors are visible and documented, not hidden.</t>
  </si>
  <si>
    <t xml:space="preserve">DO NOT</t>
  </si>
  <si>
    <t xml:space="preserve">Do not modify SEALED_PREDICTIONS rows after Status = SEALED. Do not paste formulas into SEALED_PREDICTIONS — values only. Do not deliver Step 3 output without first creating a SEALED_PREDICTIONS entry. Do not update BASE_RATES before N=5 threshold is reached. Do not show client-identifying information in ACCURACY_DASHBOARD when sharing externally.</t>
  </si>
  <si>
    <t xml:space="preserve">Sealing authority</t>
  </si>
  <si>
    <t xml:space="preserve">A sealed prediction may be created only by the engagement's Lead Analyst with co-sign by the Senior Partner per ST_Analyst_Methodology.xlsx §9. No other role may create or modify a SEALED row. Both signatures required in Section 19 of the engagement report before the SEALED_PREDICTIONS row is added.</t>
  </si>
  <si>
    <t xml:space="preserve">Post-seal information handling</t>
  </si>
  <si>
    <t xml:space="preserve">New information that emerges post-seal does NOT modify the SEALED_PREDICTIONS row. Append to a separate POST_SEAL_INFORMATION_LOG (Phase 4 work item) recording: deal ID, information date, source, content, would-have-changed-prediction assessment, decision (re-issue as new sealed row / annotate / no action). Original sealed prediction stays immutable.</t>
  </si>
  <si>
    <t xml:space="preserve">Partial confirmation scoring</t>
  </si>
  <si>
    <t xml:space="preserve">PARTIAL outcome code: direction correct, magnitude off (transition occurred outside CB, departure at different rank). PARTIAL counts as 0.5 in calibration math. Implemented in ACCURACY_DASHBOARD "CB accuracy %".</t>
  </si>
  <si>
    <t xml:space="preserve">Falsification recording</t>
  </si>
  <si>
    <t xml:space="preserve">FALSIFIED outcome: prediction wrong. Falsification documented WITHOUT modifying SEALED_PREDICTIONS row. Verification entry alone records outcome. Methodology review triggered if 3 of 5 verifications for any function-transition pair are FALSIFIED (per CALIBRATION_LOG row 17), but sealed predictions remain immutable.</t>
  </si>
  <si>
    <t xml:space="preserve">Marketing-quote permissions</t>
  </si>
  <si>
    <t xml:space="preserve">A sealed prediction may be quoted in marketing or institutional materials ONLY after: (a) verification window closed (Month 18); (b) outcome CONFIRMED or PARTIAL (never FALSIFIED); (c) Senior Partner approves quote in writing; (d) deal-pair anonymisation verified by Legal review. ACCURACY_DASHBOARD SEALED PREDICTION SHOWCASE is canonical source for approved quotes.</t>
  </si>
  <si>
    <t xml:space="preserve">Anonymized case study client approval</t>
  </si>
  <si>
    <t xml:space="preserve">Even after deal-pair anonymisation, anonymized case study requires written client approval from original engagement client. Industry-specific patterns can re-identify well-anonymised cases; methodology reputation depends on never breaching client trust. If client refuses approval, case study filed in non-public archive, cited only by ID.</t>
  </si>
  <si>
    <t xml:space="preserve">Audit trail recording</t>
  </si>
  <si>
    <t xml:space="preserve">Every action (seal, verify, mark partial, mark falsified, calibration update, quote approval) recorded in PROVENANCE sheet with action timestamp, actor name+role, action type, deal ID, justification.</t>
  </si>
  <si>
    <t xml:space="preserve">CANONICAL SEALED PREDICTION · Eli Lilly / Ventyx Biosciences · v3.1 · Credibility Anchor</t>
  </si>
  <si>
    <t xml:space="preserve">Per project documented designation: this is the canonical sealed prediction for the Structural Typology methodology. The acquisition of Ventyx Biosciences by Eli Lilly is the forward-verifiable claim that anchors the methodology's credibility across all revenue paths. Status: ACTION PENDING — sealed prediction issued, not yet publicly distributed pending senior partner sign-off.</t>
  </si>
  <si>
    <t xml:space="preserve">PREDICTION SUMMARY</t>
  </si>
  <si>
    <t xml:space="preserve">Field</t>
  </si>
  <si>
    <t xml:space="preserve">Value</t>
  </si>
  <si>
    <t xml:space="preserve">Acquirer</t>
  </si>
  <si>
    <t xml:space="preserve">Eli Lilly and Company</t>
  </si>
  <si>
    <t xml:space="preserve">Target</t>
  </si>
  <si>
    <t xml:space="preserve">Ventyx Biosciences</t>
  </si>
  <si>
    <t xml:space="preserve">Acquirer signal pattern</t>
  </si>
  <si>
    <t xml:space="preserve">NT/STJ (Performance Arena) — pharmaceutical-research-development authority on argument quality + structured accountability</t>
  </si>
  <si>
    <t xml:space="preserve">Target signal pattern</t>
  </si>
  <si>
    <t xml:space="preserve">NT/STP (Disruption Lab) — biotech experimental authority on empirical test results</t>
  </si>
  <si>
    <t xml:space="preserve">Pair classification</t>
  </si>
  <si>
    <t xml:space="preserve">NT/STJ × NT/STP — high-compatibility pair per ST_ECS_v2_canonical.xlsx (typically ECS 75-85 range based on prior NT/STJ × NT/STP pairs)</t>
  </si>
  <si>
    <t xml:space="preserve">Base ECS</t>
  </si>
  <si>
    <t xml:space="preserve">38</t>
  </si>
  <si>
    <t xml:space="preserve">Predicted ECS delta over verification window</t>
  </si>
  <si>
    <t xml:space="preserve">+19 (delta to ECS 57)</t>
  </si>
  <si>
    <t xml:space="preserve">Predicted Months 6-18 failure probability</t>
  </si>
  <si>
    <t xml:space="preserve">medium-low (consistent with NT/STJ × NT/STP MODERATE-LOW band when integration protocol is selective rather than full integration)</t>
  </si>
  <si>
    <t xml:space="preserve">Verification window</t>
  </si>
  <si>
    <t xml:space="preserve">18 months from close</t>
  </si>
  <si>
    <t xml:space="preserve">Verification metric (primary)</t>
  </si>
  <si>
    <t xml:space="preserve">Key-person retention in Ventyx scientific leadership team</t>
  </si>
  <si>
    <t xml:space="preserve">Verification metric (secondary)</t>
  </si>
  <si>
    <t xml:space="preserve">NT/STP empirical-test cycle preservation post-close (decision authority for pipeline experiments)</t>
  </si>
  <si>
    <t xml:space="preserve">Sealing date</t>
  </si>
  <si>
    <t xml:space="preserve">PENDING — not yet issued for public verification</t>
  </si>
  <si>
    <t xml:space="preserve">Senior partner sign-off</t>
  </si>
  <si>
    <t xml:space="preserve">PENDING — required per ST_Analyst_Methodology.xlsx §9</t>
  </si>
  <si>
    <t xml:space="preserve">Mathematical audit status</t>
  </si>
  <si>
    <t xml:space="preserve">PENDING — F×A formulas require independent senior data analyst audit per Investment Memorandum Appendix C</t>
  </si>
  <si>
    <t xml:space="preserve">EVIDENCE-CONFIDENCE STAMP AT SEAL TIME (per v3.1 brief)</t>
  </si>
  <si>
    <t xml:space="preserve">When this prediction is sealed, the following evidence-confidence stamp values must be recorded in SEALED_PREDICTIONS columns 11-15:
  · confidence_at_seal: TBD — pending Layer 3 analyst review per ST_Analyst_Methodology.xlsx §3 Gate 3
  · evidence_quality_at_seal: TBD — % direct-observation share of supporting answers
  · reliability_flag_rate_at_seal: TBD — % of supporting answers with any reliability flag raised
  · confidence_gate_verdict_at_seal: TBD — must be 5/5 or 4/5 for premium-tier sealed prediction
  · contradiction_count_at_seal: TBD — count of open (unresolved + non-escalated) Contradiction records</t>
  </si>
  <si>
    <t xml:space="preserve">WHY THIS PREDICTION MATTERS</t>
  </si>
  <si>
    <t xml:space="preserve">The methodology's commercial credibility hinges on a sealed, public, forward-verified prediction. The answer to the question "who audited your formulas?" cannot be "Claude" — it must be "the predictions themselves, verified against actual deal outcomes." Each correct prediction strengthens the methodology; each falsified prediction is itself diagnostic information about which assumptions need revision. This is what distinguishes Structural Typology from competing frameworks that produce unfalsifiable analyses.</t>
  </si>
  <si>
    <t xml:space="preserve">OUTSTANDING WORK BEFORE PUBLIC DISTRIBUTION</t>
  </si>
  <si>
    <t xml:space="preserve">Step</t>
  </si>
  <si>
    <t xml:space="preserve">Action</t>
  </si>
  <si>
    <t xml:space="preserve">Owner</t>
  </si>
  <si>
    <t xml:space="preserve">1</t>
  </si>
  <si>
    <t xml:space="preserve">Complete Layer 3 analyst review per ST_Analyst_Methodology.xlsx §3 Gate 3</t>
  </si>
  <si>
    <t xml:space="preserve">Lead analyst</t>
  </si>
  <si>
    <t xml:space="preserve">PENDING</t>
  </si>
  <si>
    <t xml:space="preserve">Capture evidence-confidence stamp values for SEALED_PREDICTIONS cols 11-15</t>
  </si>
  <si>
    <t xml:space="preserve">3</t>
  </si>
  <si>
    <t xml:space="preserve">Senior partner sign-off per ST_Analyst_Methodology.xlsx §9</t>
  </si>
  <si>
    <t xml:space="preserve">Senior partner</t>
  </si>
  <si>
    <t xml:space="preserve">4</t>
  </si>
  <si>
    <t xml:space="preserve">Mathematical audit of F×A formulas by independent senior data analyst</t>
  </si>
  <si>
    <t xml:space="preserve">External auditor</t>
  </si>
  <si>
    <t xml:space="preserve">5</t>
  </si>
  <si>
    <t xml:space="preserve">Register prediction row in SEALED_PREDICTIONS sheet (this file)</t>
  </si>
  <si>
    <t xml:space="preserve">6</t>
  </si>
  <si>
    <t xml:space="preserve">Public distribution: deal-pair anonymised in ACCURACY_DASHBOARD showcase</t>
  </si>
  <si>
    <t xml:space="preserve">Marketing + Lead analyst</t>
  </si>
  <si>
    <t xml:space="preserve">BLOCKED on items 1-5</t>
  </si>
  <si>
    <t xml:space="preserve">7</t>
  </si>
  <si>
    <t xml:space="preserve">Verification at Month 6 (FP1 frictions, leadership stability)</t>
  </si>
  <si>
    <t xml:space="preserve">BLOCKED — verification window not yet started</t>
  </si>
  <si>
    <t xml:space="preserve">8</t>
  </si>
  <si>
    <t xml:space="preserve">Verification at Month 12 (FP2 frictions, mid-cycle observations)</t>
  </si>
  <si>
    <t xml:space="preserve">BLOCKED</t>
  </si>
  <si>
    <t xml:space="preserve">9</t>
  </si>
  <si>
    <t xml:space="preserve">Verification at Month 18 (FP3 departure window, sealed prediction outcome)</t>
  </si>
  <si>
    <t xml:space="preserve">SCHEMA AND METHODOLOGY DEPENDENCIES · v3.1</t>
  </si>
  <si>
    <t xml:space="preserve">This file declares its dependencies on canonical schema and analyst methodology. Per consistent v3.1 practice, the prediction ledger inherits structure from these governing files rather than defining its own.</t>
  </si>
  <si>
    <t xml:space="preserve">INHERITED RULES</t>
  </si>
  <si>
    <t xml:space="preserve">Source File</t>
  </si>
  <si>
    <t xml:space="preserve">Sheet / Section</t>
  </si>
  <si>
    <t xml:space="preserve">Inherited Rule</t>
  </si>
  <si>
    <t xml:space="preserve">Application in this file</t>
  </si>
  <si>
    <t xml:space="preserve">ST_Canonical_Schema.xlsx</t>
  </si>
  <si>
    <t xml:space="preserve">sheet 12_RiskOutput_Record</t>
  </si>
  <si>
    <t xml:space="preserve">months_6_18_failureProbability field is the dedicated forward-looking output</t>
  </si>
  <si>
    <t xml:space="preserve">Prediction 2 (transition rate) and Prediction 3 (departure window) operationalise this — the sealed prediction is the months_6_18_failureProbability assignment with locked confidence stamp.</t>
  </si>
  <si>
    <t xml:space="preserve">sheet 15_ConfidenceGate</t>
  </si>
  <si>
    <t xml:space="preserve">5 gate conditions: direct-observation share, triangulation, documentary corroboration, reliability flag rate, role coverage</t>
  </si>
  <si>
    <t xml:space="preserve">SEALED_PREDICTIONS columns 12 (evidence_quality_at_seal) and 13 (reliability_flag_rate_at_seal) capture two of the five gate conditions at seal time. Column 14 (confidence_gate_verdict_at_seal) records the composite 5/5, 4/5, etc. verdict.</t>
  </si>
  <si>
    <t xml:space="preserve">ST_Analyst_Methodology.xlsx</t>
  </si>
  <si>
    <t xml:space="preserve">§3 Gate 3 Confidence Gate</t>
  </si>
  <si>
    <t xml:space="preserve">High requires all 5 conditions met; medium requires 3-4</t>
  </si>
  <si>
    <t xml:space="preserve">SEALED_PREDICTIONS column 11 (confidence_at_seal) records the verdict. Premium-tier sealed predictions require 5/5 or 4/5 verdict — captured in column 14.</t>
  </si>
  <si>
    <t xml:space="preserve">§9 Senior_Sign_Off</t>
  </si>
  <si>
    <t xml:space="preserve">Sealed predictions require senior partner review of full chain (respondent answers + documentary evidence + contradictions + Analyst Assessments + Risk Outputs + ECS computation)</t>
  </si>
  <si>
    <t xml:space="preserve">AGENT_READ_INSTRUCTIONS row 11 (DO NOT) inherits this rule: "Do not deliver Step 3 output without sealed prediction." v3.1: this file augments with explicit senior partner sign-off requirement before SEALED_PREDICTIONS row is added.</t>
  </si>
  <si>
    <t xml:space="preserve">§5 Contradiction_Triage</t>
  </si>
  <si>
    <t xml:space="preserve">Contradiction records are first-class diagnostic objects</t>
  </si>
  <si>
    <t xml:space="preserve">SEALED_PREDICTIONS column 15 (contradiction_count_at_seal) captures count of open Contradiction records at seal time. A sealed prediction issued with high contradiction count is structurally less reliable — captured for future calibration.</t>
  </si>
  <si>
    <t xml:space="preserve">ST_B_Single_Output_Template_v1.xlsx</t>
  </si>
  <si>
    <t xml:space="preserve">Section 19 Audit &amp; Sealed Prediction Lock</t>
  </si>
  <si>
    <t xml:space="preserve">Final report Section 19 includes sealed prediction lock fields</t>
  </si>
  <si>
    <t xml:space="preserve">When a 19-section report includes a sealed prediction, the prediction is registered in this file (SEALED_PREDICTIONS) with its evidence-confidence stamp. The two files are paired: Section 19 records the prediction in client-facing form; this ledger records it in append-only audit form.</t>
  </si>
  <si>
    <t xml:space="preserve">ST_Friction_Point_Lookup_updated.xlsx</t>
  </si>
  <si>
    <t xml:space="preserve">Friction_Lookup sheet</t>
  </si>
  <si>
    <t xml:space="preserve">FP1/FP2/FP3 timeline + risk-category tags per pair</t>
  </si>
  <si>
    <t xml:space="preserve">VERIFICATION_LOG checkpoints align with FP1 (Month 6 — Days 30-60 retrospective), FP2 (Month 12), FP3 (Month 18 — departure trigger window).</t>
  </si>
  <si>
    <t xml:space="preserve">ST_ECS_v2_canonical.xlsx</t>
  </si>
  <si>
    <t xml:space="preserve">ECS Matrix</t>
  </si>
  <si>
    <t xml:space="preserve">ECS scores per directed pair (canonical version)</t>
  </si>
  <si>
    <t xml:space="preserve">SEALED_PREDICTIONS column 2 (ECS Pair) sourced from this matrix. Predicted delta is delta against the locked baseline.</t>
  </si>
  <si>
    <t xml:space="preserve">ST_Transition_Rate_Engine_v1.xlsx</t>
  </si>
  <si>
    <t xml:space="preserve">PREDICTION_REGISTER</t>
  </si>
  <si>
    <t xml:space="preserve">Predictions copied to this ledger at seal time</t>
  </si>
  <si>
    <t xml:space="preserve">PROVENANCE row 9 inherits this rule unchanged. v3.1 addition: the evidence-confidence stamp must also be copied at seal time, not derived later.</t>
  </si>
  <si>
    <t xml:space="preserve">ST_Step3_Enhanced_Output_v1.xlsx</t>
  </si>
  <si>
    <t xml:space="preserve">CLIENT_OUTPUT</t>
  </si>
  <si>
    <t xml:space="preserve">Step 15.5 sealing trigger</t>
  </si>
  <si>
    <t xml:space="preserve">AGENT_READ_INSTRUCTIONS row 2 inherits this rule. v3.1: Step 15.5 also captures evidence-confidence stamp before sealing.</t>
  </si>
  <si>
    <t xml:space="preserve">v3.1 BUILD NOTES · Source v1.0 → v3.1 changes</t>
  </si>
  <si>
    <t xml:space="preserve">This file is the v3.1 additive rebuild of ST_Prediction_Ledger_v1.xlsx. Additive (not wholesale) because the source v1.0 architecture is excellent: 6 sheets, 54 dashboard formulas, clear immutability protocol, agent read instructions. v3.1 work extends the schema per Phase 3 brief: "each prediction carries the evidence-confidence stamp at issue time".</t>
  </si>
  <si>
    <t xml:space="preserve">Item</t>
  </si>
  <si>
    <t xml:space="preserve">Scope</t>
  </si>
  <si>
    <t xml:space="preserve">1. Evidence-confidence stamp added to SEALED_PREDICTIONS (brief headline)</t>
  </si>
  <si>
    <t xml:space="preserve">EXTENDED in v3.1</t>
  </si>
  <si>
    <t xml:space="preserve">SEALED_PREDICTIONS sheet, columns 11-15</t>
  </si>
  <si>
    <t xml:space="preserve">Per Phase 3 brief: "extend schema so each prediction carries the evidence-confidence stamp at issue time". 5 new columns: confidence_at_seal (high/medium/low/cannot_determine per Confidence Gate); evidence_quality_at_seal (% direct-observation share); reliability_flag_rate_at_seal (% of answers with flag); confidence_gate_verdict_at_seal (5/5, 4/5, 3/5, 2/5, 1/5, 0/5); contradiction_count_at_seal (open Contradiction records). These fields are append-only — copied at seal time, never modified.</t>
  </si>
  <si>
    <t xml:space="preserve">2. Confidence-stamp recall added to VERIFICATION_LOG</t>
  </si>
  <si>
    <t xml:space="preserve">VERIFICATION_LOG sheet, column 14</t>
  </si>
  <si>
    <t xml:space="preserve">New column 14: confidence_at_seal recalled from SEALED_PREDICTIONS col 11. Enables the calibration analysis "do high-confidence predictions verify better than low-confidence predictions?" If they do not — Confidence Gate criteria need recalibration. This is the methodology's self-correction mechanism.</t>
  </si>
  <si>
    <t xml:space="preserve">3. Eli Lilly / Ventyx canonical sealed prediction documented</t>
  </si>
  <si>
    <t xml:space="preserve">NEW SHEET in v3.1</t>
  </si>
  <si>
    <t xml:space="preserve">Eli_Lilly_Ventyx_Canonical sheet</t>
  </si>
  <si>
    <t xml:space="preserve">Per project documented designation: this is the canonical sealed prediction. Status PENDING. Sheet documents pair classification (NT/STJ × NT/STP), base ECS (38), predicted delta (+19 to 57), verification window (18 months), outstanding work before public distribution.</t>
  </si>
  <si>
    <t xml:space="preserve">4. Schema and methodology dependencies declared</t>
  </si>
  <si>
    <t xml:space="preserve">Schema_Methodology_Dependencies sheet</t>
  </si>
  <si>
    <t xml:space="preserve">Source v1.0 had 0 references to ST_Canonical_Schema or ST_Analyst_Methodology. v3.1 declares inheritance from 8 corpus files (Canonical Schema, Analyst Methodology, B_Single Output Template, Friction Point Lookup, ECS v2 canonical, Transition Rate Engine, Step3 Enhanced Output) with 10 specific rules cited.</t>
  </si>
  <si>
    <t xml:space="preserve">5. PROVENANCE preserved</t>
  </si>
  <si>
    <t xml:space="preserve">PRESERVED</t>
  </si>
  <si>
    <t xml:space="preserve">PROVENANCE sheet</t>
  </si>
  <si>
    <t xml:space="preserve">Source provenance metadata correct and well-documented. No modification. v3.1 internal version label noted in build notes.</t>
  </si>
  <si>
    <t xml:space="preserve">6. CALIBRATION_LOG preserved</t>
  </si>
  <si>
    <t xml:space="preserve">CALIBRATION_LOG sheet</t>
  </si>
  <si>
    <t xml:space="preserve">Calibration architecture (running averages per dominant function, N=5 update trigger, N=10 deepening trigger) is well-built. No modification. v3.1 NOTE: when calibration analysis is run, the new confidence_at_seal data permits stratified calibration (calibrate Confidence Gate criteria separately from transition-rate accuracy).</t>
  </si>
  <si>
    <t xml:space="preserve">7. ACCURACY_DASHBOARD preserved (54 formulas intact)</t>
  </si>
  <si>
    <t xml:space="preserve">ACCURACY_DASHBOARD sheet</t>
  </si>
  <si>
    <t xml:space="preserve">Source dashboard with 54 COUNTIF / COUNTIFS / IF formulas preserved verbatim. No modification — the formulas auto-aggregate from VERIFICATION_LOG. v3.1 future extension: stratified accuracy by confidence_at_seal (additional formulas computing accuracy per confidence-tier).</t>
  </si>
  <si>
    <t xml:space="preserve">8. AGENT_READ_INSTRUCTIONS preserved</t>
  </si>
  <si>
    <t xml:space="preserve">AGENT_READ_INSTRUCTIONS sheet</t>
  </si>
  <si>
    <t xml:space="preserve">Source instructions correct. No modification. v3.1 NOTE: agent read instructions should be amended in future Phase 4+ work to add explicit step "capture evidence-confidence stamp before sealing" — but this is documentation expansion, not architectural change. Deferred to keep this rebuild additive.</t>
  </si>
  <si>
    <t xml:space="preserve">9. SEALED_PREDICTIONS title updated for v3.1</t>
  </si>
  <si>
    <t xml:space="preserve">UPDATED in v3.1</t>
  </si>
  <si>
    <t xml:space="preserve">SEALED_PREDICTIONS row 1</t>
  </si>
  <si>
    <t xml:space="preserve">Source title preserved with v3.1 extension note appended. Immutability rule (row 2) extended with explicit instruction to capture evidence-confidence stamp at seal time.</t>
  </si>
  <si>
    <t xml:space="preserve">10. VERIFICATION_LOG title updated for v3.1</t>
  </si>
  <si>
    <t xml:space="preserve">VERIFICATION_LOG row 1</t>
  </si>
  <si>
    <t xml:space="preserve">Source title preserved with v3.1 column 14 note appended. Instructions (row 2) extended with calibration-analysis purpose statement.</t>
  </si>
  <si>
    <t xml:space="preserve">11. NO premature environment-label terminology</t>
  </si>
  <si>
    <t xml:space="preserve">CLEAN</t>
  </si>
  <si>
    <t xml:space="preserve">Throughout</t>
  </si>
  <si>
    <t xml:space="preserve">Source v1.0 had 0 occurrences of "LOCK the environment", "Primary observed environment", or related forbidden phrases. Already aligned with v3.1 architecture.</t>
  </si>
  <si>
    <t xml:space="preserve">12. NO SFP/SFJ underscore form</t>
  </si>
  <si>
    <t xml:space="preserve">Source v1.0 had 0 SFP_SFJ underscore. SFP/SFJ slash form not present in source either (no SFP/SFJ pairs in example rows). No correction needed.</t>
  </si>
  <si>
    <t xml:space="preserve">13. Existing 54 dashboard formulas preserved</t>
  </si>
  <si>
    <t xml:space="preserve">COUNTIF / COUNTIFS / IF formulas computing accuracy by prediction type and dominant function. Preserved verbatim. No formulas added in v3.1 (future extension noted in item 7).</t>
  </si>
  <si>
    <t xml:space="preserve">14. Filename preservation</t>
  </si>
  <si>
    <t xml:space="preserve">Cross-corpus rule</t>
  </si>
  <si>
    <t xml:space="preserve">Saved as exact source filename ST_Prediction_Ledger_v1.xlsx. No version markers.</t>
  </si>
  <si>
    <t xml:space="preserve">PATCH-2026-05-06</t>
  </si>
  <si>
    <t xml:space="preserve">EXTENDED</t>
  </si>
  <si>
    <t xml:space="preserve">AGENT_READ_INSTRUCTIONS — 7 new operational rules</t>
  </si>
  <si>
    <t xml:space="preserve">Per agent review claim 11: explicit rules for sealing authority, post-seal information, partial confirmation scoring, falsification recording, marketing-quote permissions, anonymized case study client approval, audit trail recording.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</si>
</sst>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E4057"/>
      <name val="Arial"/>
      <family val="0"/>
      <charset val="1"/>
    </font>
    <font>
      <b val="true"/>
      <i val="true"/>
      <sz val="9"/>
      <color rgb="FF7A1A1A"/>
      <name val="Arial"/>
      <family val="0"/>
      <charset val="1"/>
    </font>
    <font>
      <i val="true"/>
      <sz val="9"/>
      <color rgb="FF4A6580"/>
      <name val="Arial"/>
      <family val="0"/>
      <charset val="1"/>
    </font>
    <font>
      <i val="true"/>
      <sz val="9"/>
      <color rgb="FF1B4F2A"/>
      <name val="Arial"/>
      <family val="0"/>
      <charset val="1"/>
    </font>
    <font>
      <sz val="10"/>
      <color rgb="FF1A1A1A"/>
      <name val="Arial"/>
      <family val="0"/>
      <charset val="1"/>
    </font>
    <font>
      <i val="true"/>
      <sz val="9"/>
      <color rgb="FF5C5C5C"/>
      <name val="Arial"/>
      <family val="0"/>
      <charset val="1"/>
    </font>
    <font>
      <i val="true"/>
      <sz val="9"/>
      <color rgb="FF2E4057"/>
      <name val="Arial"/>
      <family val="0"/>
      <charset val="1"/>
    </font>
    <font>
      <b val="true"/>
      <sz val="10"/>
      <color rgb="FF0F1923"/>
      <name val="Arial"/>
      <family val="0"/>
      <charset val="1"/>
    </font>
    <font>
      <sz val="9"/>
      <color rgb="FF2E4057"/>
      <name val="Arial"/>
      <family val="0"/>
      <charset val="1"/>
    </font>
    <font>
      <b val="true"/>
      <sz val="12"/>
      <color rgb="FF0F1923"/>
      <name val="Arial"/>
      <family val="0"/>
      <charset val="1"/>
    </font>
    <font>
      <b val="true"/>
      <sz val="14"/>
      <color rgb="FF1B4F2A"/>
      <name val="Arial"/>
      <family val="0"/>
      <charset val="1"/>
    </font>
    <font>
      <i val="true"/>
      <sz val="10"/>
      <color rgb="FF4A6580"/>
      <name val="Arial"/>
      <family val="0"/>
      <charset val="1"/>
    </font>
    <font>
      <sz val="10"/>
      <color rgb="FF1B4F2A"/>
      <name val="Arial"/>
      <family val="0"/>
      <charset val="1"/>
    </font>
    <font>
      <sz val="10"/>
      <color rgb="FF7A1A1A"/>
      <name val="Arial"/>
      <family val="0"/>
      <charset val="1"/>
    </font>
    <font>
      <b val="true"/>
      <sz val="11"/>
      <color rgb="FF1B4F2A"/>
      <name val="Arial"/>
      <family val="0"/>
      <charset val="1"/>
    </font>
    <font>
      <i val="true"/>
      <sz val="9"/>
      <color rgb="FF3B1F6B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C9A961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F1923"/>
        <bgColor rgb="FF1A1A1A"/>
      </patternFill>
    </fill>
    <fill>
      <patternFill patternType="solid">
        <fgColor rgb="FF2E4057"/>
        <bgColor rgb="FF1B4F2A"/>
      </patternFill>
    </fill>
    <fill>
      <patternFill patternType="solid">
        <fgColor rgb="FFEDF2F7"/>
        <bgColor rgb="FFF5F5F5"/>
      </patternFill>
    </fill>
    <fill>
      <patternFill patternType="solid">
        <fgColor rgb="FFFFFFFF"/>
        <bgColor rgb="FFFFFDE6"/>
      </patternFill>
    </fill>
    <fill>
      <patternFill patternType="solid">
        <fgColor rgb="FFC9A961"/>
        <bgColor rgb="FFBFBFBF"/>
      </patternFill>
    </fill>
    <fill>
      <patternFill patternType="solid">
        <fgColor rgb="FFE6F2EA"/>
        <bgColor rgb="FFEDF2F7"/>
      </patternFill>
    </fill>
    <fill>
      <patternFill patternType="solid">
        <fgColor rgb="FFF4EBC8"/>
        <bgColor rgb="FFFAE5C3"/>
      </patternFill>
    </fill>
    <fill>
      <patternFill patternType="solid">
        <fgColor rgb="FF4A6580"/>
        <bgColor rgb="FF5C5C5C"/>
      </patternFill>
    </fill>
    <fill>
      <patternFill patternType="solid">
        <fgColor rgb="FFFFFDE6"/>
        <bgColor rgb="FFFFF9D6"/>
      </patternFill>
    </fill>
    <fill>
      <patternFill patternType="solid">
        <fgColor rgb="FF3B1F6B"/>
        <bgColor rgb="FF2E4057"/>
      </patternFill>
    </fill>
    <fill>
      <patternFill patternType="solid">
        <fgColor rgb="FFEDE8F5"/>
        <bgColor rgb="FFEDF2F7"/>
      </patternFill>
    </fill>
    <fill>
      <patternFill patternType="solid">
        <fgColor rgb="FFFAE5C3"/>
        <bgColor rgb="FFF4EBC8"/>
      </patternFill>
    </fill>
    <fill>
      <patternFill patternType="solid">
        <fgColor rgb="FF0F1F3D"/>
        <bgColor rgb="FF0F1923"/>
      </patternFill>
    </fill>
    <fill>
      <patternFill patternType="solid">
        <fgColor rgb="FFF5F5F5"/>
        <bgColor rgb="FFEDF2F7"/>
      </patternFill>
    </fill>
    <fill>
      <patternFill patternType="solid">
        <fgColor rgb="FFFFF9D6"/>
        <bgColor rgb="FFFFFD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DDE6"/>
      </left>
      <right style="thin">
        <color rgb="FFD4DDE6"/>
      </right>
      <top style="thin">
        <color rgb="FFD4DDE6"/>
      </top>
      <bottom style="thin">
        <color rgb="FFD4DDE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6"/>
      <rgbColor rgb="FFFF00FF"/>
      <rgbColor rgb="FF00FFFF"/>
      <rgbColor rgb="FF7A1A1A"/>
      <rgbColor rgb="FF1B4F2A"/>
      <rgbColor rgb="FF000080"/>
      <rgbColor rgb="FF808000"/>
      <rgbColor rgb="FF800080"/>
      <rgbColor rgb="FF008080"/>
      <rgbColor rgb="FFBFBFBF"/>
      <rgbColor rgb="FF5C5C5C"/>
      <rgbColor rgb="FF9999FF"/>
      <rgbColor rgb="FF993366"/>
      <rgbColor rgb="FFFFF9D6"/>
      <rgbColor rgb="FFE6F2EA"/>
      <rgbColor rgb="FF660066"/>
      <rgbColor rgb="FFFF8080"/>
      <rgbColor rgb="FF0066CC"/>
      <rgbColor rgb="FFD4DD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7"/>
      <rgbColor rgb="FFF5F5F5"/>
      <rgbColor rgb="FFF4EBC8"/>
      <rgbColor rgb="FFEDE8F5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4A6580"/>
      <rgbColor rgb="FFC9A961"/>
      <rgbColor rgb="FF0F1F3D"/>
      <rgbColor rgb="FF339966"/>
      <rgbColor rgb="FF0F1923"/>
      <rgbColor rgb="FF1A1A1A"/>
      <rgbColor rgb="FF993300"/>
      <rgbColor rgb="FF993366"/>
      <rgbColor rgb="FF3B1F6B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21.75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4" t="s">
        <v>2</v>
      </c>
    </row>
    <row r="3" customFormat="false" ht="37.5" hidden="false" customHeight="true" outlineLevel="0" collapsed="false">
      <c r="A3" s="3" t="s">
        <v>3</v>
      </c>
      <c r="B3" s="5" t="s">
        <v>4</v>
      </c>
    </row>
    <row r="4" customFormat="false" ht="37.5" hidden="false" customHeight="true" outlineLevel="0" collapsed="false">
      <c r="A4" s="3" t="s">
        <v>5</v>
      </c>
      <c r="B4" s="4" t="s">
        <v>6</v>
      </c>
    </row>
    <row r="5" customFormat="false" ht="37.5" hidden="false" customHeight="true" outlineLevel="0" collapsed="false">
      <c r="A5" s="3" t="s">
        <v>7</v>
      </c>
      <c r="B5" s="5" t="s">
        <v>8</v>
      </c>
    </row>
    <row r="6" customFormat="false" ht="37.5" hidden="false" customHeight="true" outlineLevel="0" collapsed="false">
      <c r="A6" s="3" t="s">
        <v>9</v>
      </c>
      <c r="B6" s="4" t="s">
        <v>10</v>
      </c>
    </row>
    <row r="7" customFormat="false" ht="37.5" hidden="false" customHeight="true" outlineLevel="0" collapsed="false">
      <c r="A7" s="3" t="s">
        <v>11</v>
      </c>
      <c r="B7" s="5" t="s">
        <v>12</v>
      </c>
    </row>
    <row r="8" customFormat="false" ht="37.5" hidden="false" customHeight="true" outlineLevel="0" collapsed="false">
      <c r="A8" s="3" t="s">
        <v>13</v>
      </c>
      <c r="B8" s="4" t="s">
        <v>14</v>
      </c>
    </row>
    <row r="9" customFormat="false" ht="37.5" hidden="false" customHeight="true" outlineLevel="0" collapsed="false">
      <c r="A9" s="3" t="s">
        <v>15</v>
      </c>
      <c r="B9" s="5" t="s">
        <v>16</v>
      </c>
    </row>
    <row r="10" customFormat="false" ht="37.5" hidden="false" customHeight="true" outlineLevel="0" collapsed="false">
      <c r="A10" s="3" t="s">
        <v>17</v>
      </c>
      <c r="B10" s="4" t="s">
        <v>18</v>
      </c>
    </row>
    <row r="11" customFormat="false" ht="18" hidden="false" customHeight="true" outlineLevel="0" collapsed="false">
      <c r="A11" s="3" t="s">
        <v>19</v>
      </c>
      <c r="B11" s="5" t="s">
        <v>20</v>
      </c>
    </row>
    <row r="12" customFormat="false" ht="37.5" hidden="false" customHeight="true" outlineLevel="0" collapsed="false">
      <c r="A12" s="3" t="s">
        <v>21</v>
      </c>
      <c r="B12" s="4" t="s">
        <v>22</v>
      </c>
    </row>
    <row r="13" customFormat="false" ht="18" hidden="false" customHeight="true" outlineLevel="0" collapsed="false">
      <c r="A13" s="3" t="s">
        <v>23</v>
      </c>
      <c r="B13" s="5" t="s">
        <v>24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6" min="5" style="1" width="30"/>
    <col collapsed="false" customWidth="true" hidden="false" outlineLevel="0" max="7" min="7" style="1" width="24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0" min="10" style="1" width="14"/>
    <col collapsed="false" customWidth="true" hidden="false" outlineLevel="0" max="15" min="11" style="1" width="22"/>
  </cols>
  <sheetData>
    <row r="1" customFormat="false" ht="21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4" hidden="false" customHeight="true" outlineLevel="0" collapsed="false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63.75" hidden="false" customHeight="true" outlineLevel="0" collapsed="false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  <c r="I3" s="7" t="s">
        <v>35</v>
      </c>
      <c r="J3" s="7" t="s">
        <v>36</v>
      </c>
      <c r="K3" s="8" t="s">
        <v>37</v>
      </c>
      <c r="L3" s="8" t="s">
        <v>38</v>
      </c>
      <c r="M3" s="8" t="s">
        <v>39</v>
      </c>
      <c r="N3" s="8" t="s">
        <v>40</v>
      </c>
      <c r="O3" s="8" t="s">
        <v>41</v>
      </c>
    </row>
    <row r="4" customFormat="false" ht="49.5" hidden="false" customHeight="true" outlineLevel="0" collapsed="false">
      <c r="A4" s="9" t="s">
        <v>42</v>
      </c>
      <c r="B4" s="9" t="s">
        <v>43</v>
      </c>
      <c r="C4" s="9" t="s">
        <v>44</v>
      </c>
      <c r="D4" s="9" t="s">
        <v>45</v>
      </c>
      <c r="E4" s="10" t="s">
        <v>46</v>
      </c>
      <c r="F4" s="10" t="s">
        <v>47</v>
      </c>
      <c r="G4" s="10" t="s">
        <v>48</v>
      </c>
      <c r="H4" s="10" t="s">
        <v>49</v>
      </c>
      <c r="I4" s="9" t="s">
        <v>50</v>
      </c>
      <c r="J4" s="11" t="s">
        <v>51</v>
      </c>
      <c r="K4" s="12" t="s">
        <v>52</v>
      </c>
      <c r="L4" s="12" t="s">
        <v>53</v>
      </c>
      <c r="M4" s="12" t="s">
        <v>54</v>
      </c>
      <c r="N4" s="12" t="s">
        <v>55</v>
      </c>
      <c r="O4" s="12" t="s">
        <v>56</v>
      </c>
    </row>
    <row r="5" customFormat="false" ht="37.5" hidden="false" customHeight="true" outlineLevel="0" collapsed="false">
      <c r="A5" s="13" t="s">
        <v>57</v>
      </c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4"/>
      <c r="N5" s="14"/>
      <c r="O5" s="14"/>
    </row>
  </sheetData>
  <mergeCells count="3">
    <mergeCell ref="A1:J1"/>
    <mergeCell ref="A2:J2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16"/>
    <col collapsed="false" customWidth="true" hidden="false" outlineLevel="0" max="13" min="12" style="1" width="20"/>
    <col collapsed="false" customWidth="true" hidden="false" outlineLevel="0" max="14" min="14" style="1" width="22"/>
  </cols>
  <sheetData>
    <row r="1" customFormat="false" ht="21.75" hidden="false" customHeight="true" outlineLevel="0" collapsed="false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15" t="s">
        <v>59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customFormat="false" ht="31.5" hidden="false" customHeight="true" outlineLevel="0" collapsed="false">
      <c r="A3" s="7" t="s">
        <v>27</v>
      </c>
      <c r="B3" s="7" t="s">
        <v>30</v>
      </c>
      <c r="C3" s="7" t="s">
        <v>60</v>
      </c>
      <c r="D3" s="7" t="s">
        <v>61</v>
      </c>
      <c r="E3" s="7" t="s">
        <v>62</v>
      </c>
      <c r="F3" s="7" t="s">
        <v>63</v>
      </c>
      <c r="G3" s="7" t="s">
        <v>64</v>
      </c>
      <c r="H3" s="7" t="s">
        <v>65</v>
      </c>
      <c r="I3" s="7" t="s">
        <v>66</v>
      </c>
      <c r="J3" s="7" t="s">
        <v>67</v>
      </c>
      <c r="K3" s="7" t="s">
        <v>68</v>
      </c>
      <c r="L3" s="7" t="s">
        <v>69</v>
      </c>
      <c r="M3" s="7" t="s">
        <v>70</v>
      </c>
      <c r="N3" s="8" t="s">
        <v>71</v>
      </c>
    </row>
    <row r="4" customFormat="false" ht="48" hidden="false" customHeight="true" outlineLevel="0" collapsed="false">
      <c r="A4" s="9" t="s">
        <v>42</v>
      </c>
      <c r="B4" s="9" t="s">
        <v>45</v>
      </c>
      <c r="C4" s="10" t="s">
        <v>43</v>
      </c>
      <c r="D4" s="9" t="s">
        <v>72</v>
      </c>
      <c r="E4" s="9" t="s">
        <v>73</v>
      </c>
      <c r="F4" s="10" t="s">
        <v>74</v>
      </c>
      <c r="G4" s="10" t="s">
        <v>75</v>
      </c>
      <c r="H4" s="11" t="s">
        <v>76</v>
      </c>
      <c r="I4" s="10" t="s">
        <v>77</v>
      </c>
      <c r="J4" s="9" t="s">
        <v>78</v>
      </c>
      <c r="K4" s="9" t="s">
        <v>79</v>
      </c>
      <c r="L4" s="10" t="s">
        <v>80</v>
      </c>
      <c r="M4" s="10" t="s">
        <v>81</v>
      </c>
      <c r="N4" s="12" t="s">
        <v>52</v>
      </c>
    </row>
    <row r="5" customFormat="false" ht="15.75" hidden="false" customHeight="true" outlineLevel="0" collapsed="false">
      <c r="A5" s="16" t="s">
        <v>82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</sheetData>
  <mergeCells count="3">
    <mergeCell ref="A1:M1"/>
    <mergeCell ref="A2:M2"/>
    <mergeCell ref="A5:M5"/>
  </mergeCells>
  <dataValidations count="3">
    <dataValidation allowBlank="false" error="Use: CONFIRMED / PARTIAL / FALSIFIED / PENDING / INSUFFICIENT_DATA" errorStyle="stop" errorTitle="Invalid outcome" operator="between" prompt="Select verification outcome" promptTitle="Outcome" showDropDown="false" showErrorMessage="true" showInputMessage="false" sqref="H4:H503" type="list">
      <formula1>"CONFIRMED,PARTIAL,FALSIFIED,PENDING,INSUFFICIENT_DATA"</formula1>
      <formula2>0</formula2>
    </dataValidation>
    <dataValidation allowBlank="false" errorStyle="stop" operator="between" prompt="Select verification checkpoint" promptTitle="Checkpoint" showDropDown="false" showErrorMessage="true" showInputMessage="false" sqref="D4:D503" type="list">
      <formula1>"Month 6,Month 12"</formula1>
      <formula2>0</formula2>
    </dataValidation>
    <dataValidation allowBlank="false" errorStyle="stop" operator="between" prompt="Prediction number (1=first signal, 2=transition rate, 3=departure window)" promptTitle="Prediction #" showDropDown="false" showErrorMessage="true" showInputMessage="false" sqref="E4:E50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6" min="3" style="1" width="14"/>
    <col collapsed="false" customWidth="true" hidden="false" outlineLevel="0" max="8" min="7" style="1" width="16"/>
    <col collapsed="false" customWidth="true" hidden="false" outlineLevel="0" max="9" min="9" style="1" width="20"/>
  </cols>
  <sheetData>
    <row r="1" customFormat="false" ht="21.75" hidden="false" customHeight="true" outlineLevel="0" collapsed="false">
      <c r="A1" s="2" t="s">
        <v>83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15" t="s">
        <v>84</v>
      </c>
      <c r="B2" s="15"/>
      <c r="C2" s="15"/>
      <c r="D2" s="15"/>
      <c r="E2" s="15"/>
      <c r="F2" s="15"/>
      <c r="G2" s="15"/>
      <c r="H2" s="15"/>
      <c r="I2" s="15"/>
    </row>
    <row r="3" customFormat="false" ht="31.5" hidden="false" customHeight="true" outlineLevel="0" collapsed="false">
      <c r="A3" s="7" t="s">
        <v>30</v>
      </c>
      <c r="B3" s="7" t="s">
        <v>85</v>
      </c>
      <c r="C3" s="7" t="s">
        <v>27</v>
      </c>
      <c r="D3" s="7" t="s">
        <v>86</v>
      </c>
      <c r="E3" s="7" t="s">
        <v>87</v>
      </c>
      <c r="F3" s="7" t="s">
        <v>88</v>
      </c>
      <c r="G3" s="7" t="s">
        <v>89</v>
      </c>
      <c r="H3" s="7" t="s">
        <v>90</v>
      </c>
      <c r="I3" s="7" t="s">
        <v>91</v>
      </c>
    </row>
    <row r="4" customFormat="false" ht="18" hidden="false" customHeight="true" outlineLevel="0" collapsed="false">
      <c r="A4" s="17" t="s">
        <v>92</v>
      </c>
      <c r="B4" s="17"/>
      <c r="C4" s="17"/>
      <c r="D4" s="17"/>
      <c r="E4" s="17"/>
      <c r="F4" s="17"/>
      <c r="G4" s="17"/>
      <c r="H4" s="17"/>
      <c r="I4" s="17"/>
    </row>
    <row r="5" customFormat="false" ht="31.5" hidden="false" customHeight="true" outlineLevel="0" collapsed="false">
      <c r="A5" s="7" t="s">
        <v>93</v>
      </c>
      <c r="B5" s="7" t="s">
        <v>94</v>
      </c>
      <c r="C5" s="7" t="s">
        <v>95</v>
      </c>
      <c r="D5" s="7" t="s">
        <v>96</v>
      </c>
      <c r="E5" s="7" t="s">
        <v>97</v>
      </c>
      <c r="F5" s="7" t="s">
        <v>98</v>
      </c>
      <c r="G5" s="7" t="s">
        <v>99</v>
      </c>
      <c r="H5" s="7" t="s">
        <v>100</v>
      </c>
      <c r="I5" s="7" t="s">
        <v>101</v>
      </c>
    </row>
    <row r="6" customFormat="false" ht="15.75" hidden="false" customHeight="true" outlineLevel="0" collapsed="false">
      <c r="A6" s="18" t="s">
        <v>45</v>
      </c>
      <c r="B6" s="19" t="n">
        <v>0</v>
      </c>
      <c r="C6" s="19" t="s">
        <v>78</v>
      </c>
      <c r="D6" s="19" t="n">
        <v>0</v>
      </c>
      <c r="E6" s="19" t="s">
        <v>78</v>
      </c>
      <c r="F6" s="19" t="n">
        <v>0</v>
      </c>
      <c r="G6" s="19" t="s">
        <v>78</v>
      </c>
      <c r="H6" s="19" t="n">
        <v>0</v>
      </c>
      <c r="I6" s="19" t="s">
        <v>78</v>
      </c>
    </row>
    <row r="7" customFormat="false" ht="15.75" hidden="false" customHeight="true" outlineLevel="0" collapsed="false">
      <c r="A7" s="20" t="s">
        <v>102</v>
      </c>
      <c r="B7" s="21" t="n">
        <v>0</v>
      </c>
      <c r="C7" s="21" t="s">
        <v>78</v>
      </c>
      <c r="D7" s="21" t="n">
        <v>0</v>
      </c>
      <c r="E7" s="21" t="s">
        <v>78</v>
      </c>
      <c r="F7" s="21" t="n">
        <v>0</v>
      </c>
      <c r="G7" s="21" t="s">
        <v>78</v>
      </c>
      <c r="H7" s="21" t="n">
        <v>0</v>
      </c>
      <c r="I7" s="21" t="s">
        <v>78</v>
      </c>
    </row>
    <row r="8" customFormat="false" ht="15.75" hidden="false" customHeight="true" outlineLevel="0" collapsed="false">
      <c r="A8" s="18" t="s">
        <v>103</v>
      </c>
      <c r="B8" s="19" t="n">
        <v>0</v>
      </c>
      <c r="C8" s="19" t="s">
        <v>78</v>
      </c>
      <c r="D8" s="19" t="n">
        <v>0</v>
      </c>
      <c r="E8" s="19" t="s">
        <v>78</v>
      </c>
      <c r="F8" s="19" t="n">
        <v>0</v>
      </c>
      <c r="G8" s="19" t="s">
        <v>78</v>
      </c>
      <c r="H8" s="19" t="n">
        <v>0</v>
      </c>
      <c r="I8" s="19" t="s">
        <v>78</v>
      </c>
    </row>
    <row r="9" customFormat="false" ht="15.75" hidden="false" customHeight="true" outlineLevel="0" collapsed="false">
      <c r="A9" s="20" t="s">
        <v>104</v>
      </c>
      <c r="B9" s="21" t="n">
        <v>0</v>
      </c>
      <c r="C9" s="21" t="s">
        <v>78</v>
      </c>
      <c r="D9" s="21" t="n">
        <v>0</v>
      </c>
      <c r="E9" s="21" t="s">
        <v>78</v>
      </c>
      <c r="F9" s="21" t="n">
        <v>0</v>
      </c>
      <c r="G9" s="21" t="s">
        <v>78</v>
      </c>
      <c r="H9" s="21" t="n">
        <v>0</v>
      </c>
      <c r="I9" s="21" t="s">
        <v>78</v>
      </c>
    </row>
    <row r="10" customFormat="false" ht="15.75" hidden="false" customHeight="true" outlineLevel="0" collapsed="false">
      <c r="A10" s="18" t="s">
        <v>105</v>
      </c>
      <c r="B10" s="19" t="n">
        <v>0</v>
      </c>
      <c r="C10" s="19" t="s">
        <v>78</v>
      </c>
      <c r="D10" s="19" t="n">
        <v>0</v>
      </c>
      <c r="E10" s="19" t="s">
        <v>78</v>
      </c>
      <c r="F10" s="19" t="n">
        <v>0</v>
      </c>
      <c r="G10" s="19" t="s">
        <v>78</v>
      </c>
      <c r="H10" s="19" t="n">
        <v>0</v>
      </c>
      <c r="I10" s="19" t="s">
        <v>78</v>
      </c>
    </row>
    <row r="11" customFormat="false" ht="15.75" hidden="false" customHeight="true" outlineLevel="0" collapsed="false">
      <c r="A11" s="20" t="s">
        <v>106</v>
      </c>
      <c r="B11" s="21" t="n">
        <v>0</v>
      </c>
      <c r="C11" s="21" t="s">
        <v>78</v>
      </c>
      <c r="D11" s="21" t="n">
        <v>0</v>
      </c>
      <c r="E11" s="21" t="s">
        <v>78</v>
      </c>
      <c r="F11" s="21" t="n">
        <v>0</v>
      </c>
      <c r="G11" s="21" t="s">
        <v>78</v>
      </c>
      <c r="H11" s="21" t="n">
        <v>0</v>
      </c>
      <c r="I11" s="21" t="s">
        <v>78</v>
      </c>
    </row>
    <row r="12" customFormat="false" ht="15.75" hidden="false" customHeight="true" outlineLevel="0" collapsed="false">
      <c r="A12" s="18" t="s">
        <v>107</v>
      </c>
      <c r="B12" s="19" t="n">
        <v>0</v>
      </c>
      <c r="C12" s="19" t="s">
        <v>78</v>
      </c>
      <c r="D12" s="19" t="n">
        <v>0</v>
      </c>
      <c r="E12" s="19" t="s">
        <v>78</v>
      </c>
      <c r="F12" s="19" t="n">
        <v>0</v>
      </c>
      <c r="G12" s="19" t="s">
        <v>78</v>
      </c>
      <c r="H12" s="19" t="n">
        <v>0</v>
      </c>
      <c r="I12" s="19" t="s">
        <v>78</v>
      </c>
    </row>
    <row r="13" customFormat="false" ht="15.75" hidden="false" customHeight="true" outlineLevel="0" collapsed="false">
      <c r="A13" s="20" t="s">
        <v>108</v>
      </c>
      <c r="B13" s="21" t="n">
        <v>0</v>
      </c>
      <c r="C13" s="21" t="s">
        <v>78</v>
      </c>
      <c r="D13" s="21" t="n">
        <v>0</v>
      </c>
      <c r="E13" s="21" t="s">
        <v>78</v>
      </c>
      <c r="F13" s="21" t="n">
        <v>0</v>
      </c>
      <c r="G13" s="21" t="s">
        <v>78</v>
      </c>
      <c r="H13" s="21" t="n">
        <v>0</v>
      </c>
      <c r="I13" s="21" t="s">
        <v>78</v>
      </c>
    </row>
    <row r="14" customFormat="false" ht="18" hidden="false" customHeight="true" outlineLevel="0" collapsed="false">
      <c r="A14" s="22" t="s">
        <v>109</v>
      </c>
      <c r="B14" s="22"/>
      <c r="C14" s="22"/>
      <c r="D14" s="22"/>
      <c r="E14" s="22"/>
      <c r="F14" s="22"/>
      <c r="G14" s="22"/>
      <c r="H14" s="22"/>
      <c r="I14" s="22"/>
    </row>
    <row r="15" customFormat="false" ht="48" hidden="false" customHeight="true" outlineLevel="0" collapsed="false">
      <c r="A15" s="23" t="s">
        <v>110</v>
      </c>
      <c r="B15" s="24" t="s">
        <v>111</v>
      </c>
      <c r="C15" s="24"/>
      <c r="D15" s="24"/>
      <c r="E15" s="24"/>
      <c r="F15" s="24"/>
      <c r="G15" s="24"/>
      <c r="H15" s="24"/>
      <c r="I15" s="24"/>
    </row>
    <row r="16" customFormat="false" ht="48" hidden="false" customHeight="true" outlineLevel="0" collapsed="false">
      <c r="A16" s="23" t="s">
        <v>112</v>
      </c>
      <c r="B16" s="25" t="s">
        <v>113</v>
      </c>
      <c r="C16" s="25"/>
      <c r="D16" s="25"/>
      <c r="E16" s="25"/>
      <c r="F16" s="25"/>
      <c r="G16" s="25"/>
      <c r="H16" s="25"/>
      <c r="I16" s="25"/>
    </row>
    <row r="17" customFormat="false" ht="48" hidden="false" customHeight="true" outlineLevel="0" collapsed="false">
      <c r="A17" s="23" t="s">
        <v>114</v>
      </c>
      <c r="B17" s="24" t="s">
        <v>115</v>
      </c>
      <c r="C17" s="24"/>
      <c r="D17" s="24"/>
      <c r="E17" s="24"/>
      <c r="F17" s="24"/>
      <c r="G17" s="24"/>
      <c r="H17" s="24"/>
      <c r="I17" s="24"/>
    </row>
    <row r="18" customFormat="false" ht="18" hidden="false" customHeight="true" outlineLevel="0" collapsed="false">
      <c r="A18" s="17" t="s">
        <v>116</v>
      </c>
      <c r="B18" s="17"/>
      <c r="C18" s="17"/>
      <c r="D18" s="17"/>
      <c r="E18" s="17"/>
      <c r="F18" s="17"/>
      <c r="G18" s="17"/>
      <c r="H18" s="17"/>
      <c r="I18" s="17"/>
    </row>
    <row r="19" customFormat="false" ht="31.5" hidden="false" customHeight="true" outlineLevel="0" collapsed="false">
      <c r="A19" s="7" t="s">
        <v>30</v>
      </c>
      <c r="B19" s="7" t="s">
        <v>85</v>
      </c>
      <c r="C19" s="7" t="s">
        <v>27</v>
      </c>
      <c r="D19" s="7" t="s">
        <v>86</v>
      </c>
      <c r="E19" s="7" t="s">
        <v>87</v>
      </c>
      <c r="F19" s="7" t="s">
        <v>88</v>
      </c>
      <c r="G19" s="7" t="s">
        <v>117</v>
      </c>
      <c r="H19" s="7" t="s">
        <v>90</v>
      </c>
      <c r="I19" s="7" t="s">
        <v>118</v>
      </c>
    </row>
    <row r="20" customFormat="false" ht="15.75" hidden="false" customHeight="true" outlineLevel="0" collapsed="false">
      <c r="A20" s="9" t="s">
        <v>45</v>
      </c>
      <c r="B20" s="9" t="s">
        <v>119</v>
      </c>
      <c r="C20" s="9" t="s">
        <v>42</v>
      </c>
      <c r="D20" s="9" t="n">
        <v>18</v>
      </c>
      <c r="E20" s="9" t="s">
        <v>78</v>
      </c>
      <c r="F20" s="9" t="s">
        <v>78</v>
      </c>
      <c r="G20" s="9" t="n">
        <v>1</v>
      </c>
      <c r="H20" s="9" t="s">
        <v>78</v>
      </c>
      <c r="I20" s="9" t="s">
        <v>120</v>
      </c>
    </row>
    <row r="21" customFormat="false" ht="15.75" hidden="false" customHeight="true" outlineLevel="0" collapsed="false">
      <c r="A21" s="26" t="s">
        <v>121</v>
      </c>
      <c r="B21" s="26"/>
      <c r="C21" s="26"/>
      <c r="D21" s="26"/>
      <c r="E21" s="26"/>
      <c r="F21" s="26"/>
      <c r="G21" s="26"/>
      <c r="H21" s="26"/>
      <c r="I21" s="26"/>
    </row>
  </sheetData>
  <mergeCells count="9">
    <mergeCell ref="A1:I1"/>
    <mergeCell ref="A2:I2"/>
    <mergeCell ref="A4:I4"/>
    <mergeCell ref="A14:I14"/>
    <mergeCell ref="B15:I15"/>
    <mergeCell ref="B16:I16"/>
    <mergeCell ref="B17:I17"/>
    <mergeCell ref="A18:I18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6" min="3" style="1" width="14"/>
    <col collapsed="false" customWidth="true" hidden="false" outlineLevel="0" max="7" min="7" style="1" width="22"/>
    <col collapsed="false" customWidth="true" hidden="false" outlineLevel="0" max="8" min="8" style="1" width="28"/>
  </cols>
  <sheetData>
    <row r="1" customFormat="false" ht="21.75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15" t="s">
        <v>123</v>
      </c>
      <c r="B2" s="15"/>
      <c r="C2" s="15"/>
      <c r="D2" s="15"/>
      <c r="E2" s="15"/>
      <c r="F2" s="15"/>
      <c r="G2" s="15"/>
      <c r="H2" s="15"/>
    </row>
    <row r="3" customFormat="false" ht="18" hidden="false" customHeight="true" outlineLevel="0" collapsed="false">
      <c r="A3" s="17" t="s">
        <v>124</v>
      </c>
      <c r="B3" s="17"/>
      <c r="C3" s="17"/>
      <c r="D3" s="17"/>
      <c r="E3" s="17"/>
      <c r="F3" s="17"/>
      <c r="G3" s="17"/>
      <c r="H3" s="17"/>
    </row>
    <row r="4" customFormat="false" ht="19.5" hidden="false" customHeight="true" outlineLevel="0" collapsed="false">
      <c r="A4" s="27" t="s">
        <v>125</v>
      </c>
      <c r="B4" s="28" t="n">
        <f aca="false">COUNTA(SEALED_PREDICTIONS!A4:A1000)-COUNTIF(SEALED_PREDICTIONS!A4:A1000,"[EXAMPLE*")</f>
        <v>1</v>
      </c>
      <c r="C4" s="28"/>
      <c r="D4" s="28"/>
      <c r="E4" s="29" t="s">
        <v>126</v>
      </c>
      <c r="F4" s="29"/>
      <c r="G4" s="29"/>
      <c r="H4" s="29"/>
    </row>
    <row r="5" customFormat="false" ht="19.5" hidden="false" customHeight="true" outlineLevel="0" collapsed="false">
      <c r="A5" s="30" t="s">
        <v>127</v>
      </c>
      <c r="B5" s="31" t="n">
        <f aca="false">COUNTIF(VERIFICATION_LOG!H4:H503,"CONFIRMED")+COUNTIF(VERIFICATION_LOG!H4:H503,"PARTIAL")+COUNTIF(VERIFICATION_LOG!H4:H503,"FALSIFIED")+COUNTIF(VERIFICATION_LOG!H4:H503,"INSUFFICIENT_DATA")</f>
        <v>1</v>
      </c>
      <c r="C5" s="31"/>
      <c r="D5" s="31"/>
      <c r="E5" s="29" t="s">
        <v>128</v>
      </c>
      <c r="F5" s="29"/>
      <c r="G5" s="29"/>
      <c r="H5" s="29"/>
    </row>
    <row r="6" customFormat="false" ht="19.5" hidden="false" customHeight="true" outlineLevel="0" collapsed="false">
      <c r="A6" s="27" t="s">
        <v>129</v>
      </c>
      <c r="B6" s="31" t="str">
        <f aca="false">IF((COUNTIFS(VERIFICATION_LOG!E4:E503,"1",VERIFICATION_LOG!H4:H503,"CONFIRMED")+COUNTIFS(VERIFICATION_LOG!E4:E503,"1",VERIFICATION_LOG!H4:H503,"PARTIAL")+COUNTIFS(VERIFICATION_LOG!E4:E503,"1",VERIFICATION_LOG!H4:H503,"FALSIFIED"))=0,"—",ROUND((COUNTIFS(VERIFICATION_LOG!E4:E503,"1",VERIFICATION_LOG!H4:H503,"CONFIRMED")+COUNTIFS(VERIFICATION_LOG!E4:E503,"1",VERIFICATION_LOG!H4:H503,"PARTIAL"))/(COUNTIFS(VERIFICATION_LOG!E4:E503,"1",VERIFICATION_LOG!H4:H503,"CONFIRMED")+COUNTIFS(VERIFICATION_LOG!E4:E503,"1",VERIFICATION_LOG!H4:H503,"PARTIAL")+COUNTIFS(VERIFICATION_LOG!E4:E503,"1",VERIFICATION_LOG!H4:H503,"FALSIFIED"))*100,1)&amp;"%")</f>
        <v>—</v>
      </c>
      <c r="C6" s="31"/>
      <c r="D6" s="31"/>
      <c r="E6" s="29" t="s">
        <v>130</v>
      </c>
      <c r="F6" s="29"/>
      <c r="G6" s="29"/>
      <c r="H6" s="29"/>
    </row>
    <row r="7" customFormat="false" ht="19.5" hidden="false" customHeight="true" outlineLevel="0" collapsed="false">
      <c r="A7" s="30" t="s">
        <v>131</v>
      </c>
      <c r="B7" s="31" t="str">
        <f aca="false">IF((COUNTIFS(VERIFICATION_LOG!E4:E503,"2",VERIFICATION_LOG!H4:H503,"CONFIRMED")+COUNTIFS(VERIFICATION_LOG!E4:E503,"2",VERIFICATION_LOG!H4:H503,"PARTIAL")+COUNTIFS(VERIFICATION_LOG!E4:E503,"2",VERIFICATION_LOG!H4:H503,"FALSIFIED"))=0,"—",ROUND(COUNTIFS(VERIFICATION_LOG!E4:E503,"2",VERIFICATION_LOG!H4:H503,"CONFIRMED")/(COUNTIFS(VERIFICATION_LOG!E4:E503,"2",VERIFICATION_LOG!H4:H503,"CONFIRMED")+COUNTIFS(VERIFICATION_LOG!E4:E503,"2",VERIFICATION_LOG!H4:H503,"PARTIAL")+COUNTIFS(VERIFICATION_LOG!E4:E503,"2",VERIFICATION_LOG!H4:H503,"FALSIFIED"))*100,1)&amp;"%")</f>
        <v>100%</v>
      </c>
      <c r="C7" s="31"/>
      <c r="D7" s="31"/>
      <c r="E7" s="29" t="s">
        <v>132</v>
      </c>
      <c r="F7" s="29"/>
      <c r="G7" s="29"/>
      <c r="H7" s="29"/>
    </row>
    <row r="8" customFormat="false" ht="19.5" hidden="false" customHeight="true" outlineLevel="0" collapsed="false">
      <c r="A8" s="27" t="s">
        <v>133</v>
      </c>
      <c r="B8" s="31" t="str">
        <f aca="false">IF((COUNTIFS(VERIFICATION_LOG!E4:E503,"3",VERIFICATION_LOG!H4:H503,"CONFIRMED")+COUNTIFS(VERIFICATION_LOG!E4:E503,"3",VERIFICATION_LOG!H4:H503,"PARTIAL")+COUNTIFS(VERIFICATION_LOG!E4:E503,"3",VERIFICATION_LOG!H4:H503,"FALSIFIED"))=0,"—",ROUND((COUNTIFS(VERIFICATION_LOG!E4:E503,"3",VERIFICATION_LOG!H4:H503,"CONFIRMED")+COUNTIFS(VERIFICATION_LOG!E4:E503,"3",VERIFICATION_LOG!H4:H503,"PARTIAL"))/(COUNTIFS(VERIFICATION_LOG!E4:E503,"3",VERIFICATION_LOG!H4:H503,"CONFIRMED")+COUNTIFS(VERIFICATION_LOG!E4:E503,"3",VERIFICATION_LOG!H4:H503,"PARTIAL")+COUNTIFS(VERIFICATION_LOG!E4:E503,"3",VERIFICATION_LOG!H4:H503,"FALSIFIED"))*100,1)&amp;"%")</f>
        <v>—</v>
      </c>
      <c r="C8" s="31"/>
      <c r="D8" s="31"/>
      <c r="E8" s="29" t="s">
        <v>134</v>
      </c>
      <c r="F8" s="29"/>
      <c r="G8" s="29"/>
      <c r="H8" s="29"/>
    </row>
    <row r="9" customFormat="false" ht="19.5" hidden="false" customHeight="true" outlineLevel="0" collapsed="false">
      <c r="A9" s="30" t="s">
        <v>135</v>
      </c>
      <c r="B9" s="32" t="str">
        <f aca="false">IF((COUNTIF(VERIFICATION_LOG!H4:H503,"CONFIRMED")+COUNTIF(VERIFICATION_LOG!H4:H503,"PARTIAL")+COUNTIF(VERIFICATION_LOG!H4:H503,"FALSIFIED"))=0,"—",ROUND((COUNTIF(VERIFICATION_LOG!H4:H503,"CONFIRMED")+COUNTIF(VERIFICATION_LOG!H4:H503,"PARTIAL"))/(COUNTIF(VERIFICATION_LOG!H4:H503,"CONFIRMED")+COUNTIF(VERIFICATION_LOG!H4:H503,"PARTIAL")+COUNTIF(VERIFICATION_LOG!H4:H503,"FALSIFIED"))*100,1)&amp;"%")</f>
        <v>100%</v>
      </c>
      <c r="C9" s="32"/>
      <c r="D9" s="32"/>
      <c r="E9" s="33" t="s">
        <v>136</v>
      </c>
      <c r="F9" s="33"/>
      <c r="G9" s="33"/>
      <c r="H9" s="33"/>
    </row>
    <row r="10" customFormat="false" ht="24" hidden="false" customHeight="true" outlineLevel="0" collapsed="false">
      <c r="A10" s="27" t="s">
        <v>137</v>
      </c>
      <c r="B10" s="34" t="s">
        <v>138</v>
      </c>
      <c r="C10" s="34"/>
      <c r="D10" s="34"/>
      <c r="E10" s="10" t="s">
        <v>139</v>
      </c>
      <c r="F10" s="10"/>
      <c r="G10" s="10"/>
      <c r="H10" s="10"/>
    </row>
    <row r="11" customFormat="false" ht="24" hidden="false" customHeight="true" outlineLevel="0" collapsed="false">
      <c r="A11" s="30" t="s">
        <v>140</v>
      </c>
      <c r="B11" s="34" t="s">
        <v>138</v>
      </c>
      <c r="C11" s="34"/>
      <c r="D11" s="34"/>
      <c r="E11" s="10" t="s">
        <v>141</v>
      </c>
      <c r="F11" s="10"/>
      <c r="G11" s="10"/>
      <c r="H11" s="10"/>
    </row>
    <row r="12" customFormat="false" ht="18" hidden="false" customHeight="true" outlineLevel="0" collapsed="false">
      <c r="A12" s="35" t="s">
        <v>142</v>
      </c>
      <c r="B12" s="35"/>
      <c r="C12" s="35"/>
      <c r="D12" s="35"/>
      <c r="E12" s="35"/>
      <c r="F12" s="35"/>
      <c r="G12" s="35"/>
      <c r="H12" s="35"/>
    </row>
    <row r="13" customFormat="false" ht="31.5" hidden="false" customHeight="true" outlineLevel="0" collapsed="false">
      <c r="A13" s="7" t="s">
        <v>93</v>
      </c>
      <c r="B13" s="7" t="s">
        <v>143</v>
      </c>
      <c r="C13" s="7" t="s">
        <v>144</v>
      </c>
      <c r="D13" s="7" t="s">
        <v>145</v>
      </c>
      <c r="E13" s="7" t="s">
        <v>146</v>
      </c>
      <c r="F13" s="7" t="s">
        <v>147</v>
      </c>
      <c r="G13" s="7" t="s">
        <v>148</v>
      </c>
      <c r="H13" s="7" t="s">
        <v>149</v>
      </c>
    </row>
    <row r="14" customFormat="false" ht="15.75" hidden="false" customHeight="true" outlineLevel="0" collapsed="false">
      <c r="A14" s="18" t="s">
        <v>45</v>
      </c>
      <c r="B14" s="36" t="n">
        <f aca="false">COUNTIF(SEALED_PREDICTIONS!D4:D1000,"Ni1")</f>
        <v>1</v>
      </c>
      <c r="C14" s="19" t="n">
        <f aca="false">COUNTIFS(VERIFICATION_LOG!B4:B503,"Ni1",VERIFICATION_LOG!H4:H503,"CONFIRMED")+COUNTIFS(VERIFICATION_LOG!B4:B503,"Ni1",VERIFICATION_LOG!H4:H503,"PARTIAL")+COUNTIFS(VERIFICATION_LOG!B4:B503,"Ni1",VERIFICATION_LOG!H4:H503,"FALSIFIED")</f>
        <v>1</v>
      </c>
      <c r="D14" s="37" t="n">
        <f aca="false">COUNTIFS(VERIFICATION_LOG!B4:B503,"Ni1",VERIFICATION_LOG!H4:H503,"CONFIRMED")</f>
        <v>1</v>
      </c>
      <c r="E14" s="19" t="n">
        <f aca="false">COUNTIFS(VERIFICATION_LOG!B4:B503,"Ni1",VERIFICATION_LOG!H4:H503,"PARTIAL")</f>
        <v>0</v>
      </c>
      <c r="F14" s="38" t="n">
        <f aca="false">COUNTIFS(VERIFICATION_LOG!B4:B503,"Ni1",VERIFICATION_LOG!H4:H503,"FALSIFIED")</f>
        <v>0</v>
      </c>
      <c r="G14" s="39" t="str">
        <f aca="false">IF(C14=0,"—",ROUND(D14/C14*100,1)&amp;"%")</f>
        <v>100%</v>
      </c>
      <c r="H14" s="29" t="s">
        <v>150</v>
      </c>
    </row>
    <row r="15" customFormat="false" ht="15.75" hidden="false" customHeight="true" outlineLevel="0" collapsed="false">
      <c r="A15" s="20" t="s">
        <v>102</v>
      </c>
      <c r="B15" s="36" t="n">
        <f aca="false">COUNTIF(SEALED_PREDICTIONS!D4:D1000,"Te1")</f>
        <v>0</v>
      </c>
      <c r="C15" s="21" t="n">
        <f aca="false">COUNTIFS(VERIFICATION_LOG!B4:B503,"Te1",VERIFICATION_LOG!H4:H503,"CONFIRMED")+COUNTIFS(VERIFICATION_LOG!B4:B503,"Te1",VERIFICATION_LOG!H4:H503,"PARTIAL")+COUNTIFS(VERIFICATION_LOG!B4:B503,"Te1",VERIFICATION_LOG!H4:H503,"FALSIFIED")</f>
        <v>0</v>
      </c>
      <c r="D15" s="40" t="n">
        <f aca="false">COUNTIFS(VERIFICATION_LOG!B4:B503,"Te1",VERIFICATION_LOG!H4:H503,"CONFIRMED")</f>
        <v>0</v>
      </c>
      <c r="E15" s="21" t="n">
        <f aca="false">COUNTIFS(VERIFICATION_LOG!B4:B503,"Te1",VERIFICATION_LOG!H4:H503,"PARTIAL")</f>
        <v>0</v>
      </c>
      <c r="F15" s="41" t="n">
        <f aca="false">COUNTIFS(VERIFICATION_LOG!B4:B503,"Te1",VERIFICATION_LOG!H4:H503,"FALSIFIED")</f>
        <v>0</v>
      </c>
      <c r="G15" s="39" t="str">
        <f aca="false">IF(C15=0,"—",ROUND(D15/C15*100,1)&amp;"%")</f>
        <v>—</v>
      </c>
      <c r="H15" s="42" t="s">
        <v>150</v>
      </c>
    </row>
    <row r="16" customFormat="false" ht="15.75" hidden="false" customHeight="true" outlineLevel="0" collapsed="false">
      <c r="A16" s="18" t="s">
        <v>103</v>
      </c>
      <c r="B16" s="36" t="n">
        <f aca="false">COUNTIF(SEALED_PREDICTIONS!D4:D1000,"Ti1")</f>
        <v>0</v>
      </c>
      <c r="C16" s="19" t="n">
        <f aca="false">COUNTIFS(VERIFICATION_LOG!B4:B503,"Ti1",VERIFICATION_LOG!H4:H503,"CONFIRMED")+COUNTIFS(VERIFICATION_LOG!B4:B503,"Ti1",VERIFICATION_LOG!H4:H503,"PARTIAL")+COUNTIFS(VERIFICATION_LOG!B4:B503,"Ti1",VERIFICATION_LOG!H4:H503,"FALSIFIED")</f>
        <v>0</v>
      </c>
      <c r="D16" s="37" t="n">
        <f aca="false">COUNTIFS(VERIFICATION_LOG!B4:B503,"Ti1",VERIFICATION_LOG!H4:H503,"CONFIRMED")</f>
        <v>0</v>
      </c>
      <c r="E16" s="19" t="n">
        <f aca="false">COUNTIFS(VERIFICATION_LOG!B4:B503,"Ti1",VERIFICATION_LOG!H4:H503,"PARTIAL")</f>
        <v>0</v>
      </c>
      <c r="F16" s="38" t="n">
        <f aca="false">COUNTIFS(VERIFICATION_LOG!B4:B503,"Ti1",VERIFICATION_LOG!H4:H503,"FALSIFIED")</f>
        <v>0</v>
      </c>
      <c r="G16" s="39" t="str">
        <f aca="false">IF(C16=0,"—",ROUND(D16/C16*100,1)&amp;"%")</f>
        <v>—</v>
      </c>
      <c r="H16" s="29" t="s">
        <v>150</v>
      </c>
    </row>
    <row r="17" customFormat="false" ht="15.75" hidden="false" customHeight="true" outlineLevel="0" collapsed="false">
      <c r="A17" s="20" t="s">
        <v>104</v>
      </c>
      <c r="B17" s="36" t="n">
        <f aca="false">COUNTIF(SEALED_PREDICTIONS!D4:D1000,"Ne1")</f>
        <v>0</v>
      </c>
      <c r="C17" s="21" t="n">
        <f aca="false">COUNTIFS(VERIFICATION_LOG!B4:B503,"Ne1",VERIFICATION_LOG!H4:H503,"CONFIRMED")+COUNTIFS(VERIFICATION_LOG!B4:B503,"Ne1",VERIFICATION_LOG!H4:H503,"PARTIAL")+COUNTIFS(VERIFICATION_LOG!B4:B503,"Ne1",VERIFICATION_LOG!H4:H503,"FALSIFIED")</f>
        <v>0</v>
      </c>
      <c r="D17" s="40" t="n">
        <f aca="false">COUNTIFS(VERIFICATION_LOG!B4:B503,"Ne1",VERIFICATION_LOG!H4:H503,"CONFIRMED")</f>
        <v>0</v>
      </c>
      <c r="E17" s="21" t="n">
        <f aca="false">COUNTIFS(VERIFICATION_LOG!B4:B503,"Ne1",VERIFICATION_LOG!H4:H503,"PARTIAL")</f>
        <v>0</v>
      </c>
      <c r="F17" s="41" t="n">
        <f aca="false">COUNTIFS(VERIFICATION_LOG!B4:B503,"Ne1",VERIFICATION_LOG!H4:H503,"FALSIFIED")</f>
        <v>0</v>
      </c>
      <c r="G17" s="39" t="str">
        <f aca="false">IF(C17=0,"—",ROUND(D17/C17*100,1)&amp;"%")</f>
        <v>—</v>
      </c>
      <c r="H17" s="42" t="s">
        <v>150</v>
      </c>
    </row>
    <row r="18" customFormat="false" ht="15.75" hidden="false" customHeight="true" outlineLevel="0" collapsed="false">
      <c r="A18" s="18" t="s">
        <v>105</v>
      </c>
      <c r="B18" s="36" t="n">
        <f aca="false">COUNTIF(SEALED_PREDICTIONS!D4:D1000,"Fe1")</f>
        <v>0</v>
      </c>
      <c r="C18" s="19" t="n">
        <f aca="false">COUNTIFS(VERIFICATION_LOG!B4:B503,"Fe1",VERIFICATION_LOG!H4:H503,"CONFIRMED")+COUNTIFS(VERIFICATION_LOG!B4:B503,"Fe1",VERIFICATION_LOG!H4:H503,"PARTIAL")+COUNTIFS(VERIFICATION_LOG!B4:B503,"Fe1",VERIFICATION_LOG!H4:H503,"FALSIFIED")</f>
        <v>0</v>
      </c>
      <c r="D18" s="37" t="n">
        <f aca="false">COUNTIFS(VERIFICATION_LOG!B4:B503,"Fe1",VERIFICATION_LOG!H4:H503,"CONFIRMED")</f>
        <v>0</v>
      </c>
      <c r="E18" s="19" t="n">
        <f aca="false">COUNTIFS(VERIFICATION_LOG!B4:B503,"Fe1",VERIFICATION_LOG!H4:H503,"PARTIAL")</f>
        <v>0</v>
      </c>
      <c r="F18" s="38" t="n">
        <f aca="false">COUNTIFS(VERIFICATION_LOG!B4:B503,"Fe1",VERIFICATION_LOG!H4:H503,"FALSIFIED")</f>
        <v>0</v>
      </c>
      <c r="G18" s="39" t="str">
        <f aca="false">IF(C18=0,"—",ROUND(D18/C18*100,1)&amp;"%")</f>
        <v>—</v>
      </c>
      <c r="H18" s="29" t="s">
        <v>150</v>
      </c>
    </row>
    <row r="19" customFormat="false" ht="15.75" hidden="false" customHeight="true" outlineLevel="0" collapsed="false">
      <c r="A19" s="20" t="s">
        <v>106</v>
      </c>
      <c r="B19" s="36" t="n">
        <f aca="false">COUNTIF(SEALED_PREDICTIONS!D4:D1000,"Se1")</f>
        <v>0</v>
      </c>
      <c r="C19" s="21" t="n">
        <f aca="false">COUNTIFS(VERIFICATION_LOG!B4:B503,"Se1",VERIFICATION_LOG!H4:H503,"CONFIRMED")+COUNTIFS(VERIFICATION_LOG!B4:B503,"Se1",VERIFICATION_LOG!H4:H503,"PARTIAL")+COUNTIFS(VERIFICATION_LOG!B4:B503,"Se1",VERIFICATION_LOG!H4:H503,"FALSIFIED")</f>
        <v>0</v>
      </c>
      <c r="D19" s="40" t="n">
        <f aca="false">COUNTIFS(VERIFICATION_LOG!B4:B503,"Se1",VERIFICATION_LOG!H4:H503,"CONFIRMED")</f>
        <v>0</v>
      </c>
      <c r="E19" s="21" t="n">
        <f aca="false">COUNTIFS(VERIFICATION_LOG!B4:B503,"Se1",VERIFICATION_LOG!H4:H503,"PARTIAL")</f>
        <v>0</v>
      </c>
      <c r="F19" s="41" t="n">
        <f aca="false">COUNTIFS(VERIFICATION_LOG!B4:B503,"Se1",VERIFICATION_LOG!H4:H503,"FALSIFIED")</f>
        <v>0</v>
      </c>
      <c r="G19" s="39" t="str">
        <f aca="false">IF(C19=0,"—",ROUND(D19/C19*100,1)&amp;"%")</f>
        <v>—</v>
      </c>
      <c r="H19" s="42" t="s">
        <v>150</v>
      </c>
    </row>
    <row r="20" customFormat="false" ht="15.75" hidden="false" customHeight="true" outlineLevel="0" collapsed="false">
      <c r="A20" s="18" t="s">
        <v>107</v>
      </c>
      <c r="B20" s="36" t="n">
        <f aca="false">COUNTIF(SEALED_PREDICTIONS!D4:D1000,"Si1")</f>
        <v>0</v>
      </c>
      <c r="C20" s="19" t="n">
        <f aca="false">COUNTIFS(VERIFICATION_LOG!B4:B503,"Si1",VERIFICATION_LOG!H4:H503,"CONFIRMED")+COUNTIFS(VERIFICATION_LOG!B4:B503,"Si1",VERIFICATION_LOG!H4:H503,"PARTIAL")+COUNTIFS(VERIFICATION_LOG!B4:B503,"Si1",VERIFICATION_LOG!H4:H503,"FALSIFIED")</f>
        <v>0</v>
      </c>
      <c r="D20" s="37" t="n">
        <f aca="false">COUNTIFS(VERIFICATION_LOG!B4:B503,"Si1",VERIFICATION_LOG!H4:H503,"CONFIRMED")</f>
        <v>0</v>
      </c>
      <c r="E20" s="19" t="n">
        <f aca="false">COUNTIFS(VERIFICATION_LOG!B4:B503,"Si1",VERIFICATION_LOG!H4:H503,"PARTIAL")</f>
        <v>0</v>
      </c>
      <c r="F20" s="38" t="n">
        <f aca="false">COUNTIFS(VERIFICATION_LOG!B4:B503,"Si1",VERIFICATION_LOG!H4:H503,"FALSIFIED")</f>
        <v>0</v>
      </c>
      <c r="G20" s="39" t="str">
        <f aca="false">IF(C20=0,"—",ROUND(D20/C20*100,1)&amp;"%")</f>
        <v>—</v>
      </c>
      <c r="H20" s="29" t="s">
        <v>150</v>
      </c>
    </row>
    <row r="21" customFormat="false" ht="15.75" hidden="false" customHeight="true" outlineLevel="0" collapsed="false">
      <c r="A21" s="20" t="s">
        <v>108</v>
      </c>
      <c r="B21" s="36" t="n">
        <f aca="false">COUNTIF(SEALED_PREDICTIONS!D4:D1000,"Fi1")</f>
        <v>0</v>
      </c>
      <c r="C21" s="21" t="n">
        <f aca="false">COUNTIFS(VERIFICATION_LOG!B4:B503,"Fi1",VERIFICATION_LOG!H4:H503,"CONFIRMED")+COUNTIFS(VERIFICATION_LOG!B4:B503,"Fi1",VERIFICATION_LOG!H4:H503,"PARTIAL")+COUNTIFS(VERIFICATION_LOG!B4:B503,"Fi1",VERIFICATION_LOG!H4:H503,"FALSIFIED")</f>
        <v>0</v>
      </c>
      <c r="D21" s="40" t="n">
        <f aca="false">COUNTIFS(VERIFICATION_LOG!B4:B503,"Fi1",VERIFICATION_LOG!H4:H503,"CONFIRMED")</f>
        <v>0</v>
      </c>
      <c r="E21" s="21" t="n">
        <f aca="false">COUNTIFS(VERIFICATION_LOG!B4:B503,"Fi1",VERIFICATION_LOG!H4:H503,"PARTIAL")</f>
        <v>0</v>
      </c>
      <c r="F21" s="41" t="n">
        <f aca="false">COUNTIFS(VERIFICATION_LOG!B4:B503,"Fi1",VERIFICATION_LOG!H4:H503,"FALSIFIED")</f>
        <v>0</v>
      </c>
      <c r="G21" s="39" t="str">
        <f aca="false">IF(C21=0,"—",ROUND(D21/C21*100,1)&amp;"%")</f>
        <v>—</v>
      </c>
      <c r="H21" s="42" t="s">
        <v>150</v>
      </c>
    </row>
    <row r="22" customFormat="false" ht="18" hidden="false" customHeight="true" outlineLevel="0" collapsed="false">
      <c r="A22" s="43" t="s">
        <v>151</v>
      </c>
      <c r="B22" s="43"/>
      <c r="C22" s="43"/>
      <c r="D22" s="43"/>
      <c r="E22" s="43"/>
      <c r="F22" s="43"/>
      <c r="G22" s="43"/>
      <c r="H22" s="43"/>
    </row>
    <row r="23" customFormat="false" ht="24" hidden="false" customHeight="true" outlineLevel="0" collapsed="false">
      <c r="A23" s="15" t="s">
        <v>152</v>
      </c>
      <c r="B23" s="15"/>
      <c r="C23" s="15"/>
      <c r="D23" s="15"/>
      <c r="E23" s="15"/>
      <c r="F23" s="15"/>
      <c r="G23" s="15"/>
      <c r="H23" s="15"/>
    </row>
    <row r="24" customFormat="false" ht="31.5" hidden="false" customHeight="true" outlineLevel="0" collapsed="false">
      <c r="A24" s="7" t="s">
        <v>153</v>
      </c>
      <c r="B24" s="7" t="s">
        <v>154</v>
      </c>
      <c r="C24" s="7" t="s">
        <v>155</v>
      </c>
      <c r="D24" s="7" t="s">
        <v>156</v>
      </c>
      <c r="E24" s="7" t="s">
        <v>157</v>
      </c>
      <c r="F24" s="7" t="s">
        <v>158</v>
      </c>
      <c r="G24" s="7" t="s">
        <v>65</v>
      </c>
      <c r="H24" s="7" t="s">
        <v>159</v>
      </c>
    </row>
    <row r="25" customFormat="false" ht="36" hidden="false" customHeight="true" outlineLevel="0" collapsed="false">
      <c r="A25" s="44" t="s">
        <v>160</v>
      </c>
      <c r="B25" s="44" t="s">
        <v>43</v>
      </c>
      <c r="C25" s="45" t="s">
        <v>161</v>
      </c>
      <c r="D25" s="44" t="s">
        <v>162</v>
      </c>
      <c r="E25" s="44" t="s">
        <v>72</v>
      </c>
      <c r="F25" s="45" t="s">
        <v>163</v>
      </c>
      <c r="G25" s="11" t="s">
        <v>76</v>
      </c>
      <c r="H25" s="45" t="s">
        <v>164</v>
      </c>
    </row>
    <row r="26" customFormat="false" ht="15.75" hidden="false" customHeight="true" outlineLevel="0" collapsed="false">
      <c r="A26" s="26" t="s">
        <v>165</v>
      </c>
      <c r="B26" s="26"/>
      <c r="C26" s="26"/>
      <c r="D26" s="26"/>
      <c r="E26" s="26"/>
      <c r="F26" s="26"/>
      <c r="G26" s="26"/>
      <c r="H26" s="26"/>
    </row>
  </sheetData>
  <mergeCells count="23">
    <mergeCell ref="A1:H1"/>
    <mergeCell ref="A2:H2"/>
    <mergeCell ref="A3:H3"/>
    <mergeCell ref="B4:D4"/>
    <mergeCell ref="E4:H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A12:H12"/>
    <mergeCell ref="A22:H22"/>
    <mergeCell ref="A23:H23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21.75" hidden="false" customHeight="true" outlineLevel="0" collapsed="false">
      <c r="A1" s="2" t="s">
        <v>166</v>
      </c>
      <c r="B1" s="2"/>
    </row>
    <row r="2" customFormat="false" ht="51.75" hidden="false" customHeight="true" outlineLevel="0" collapsed="false">
      <c r="A2" s="3" t="s">
        <v>167</v>
      </c>
      <c r="B2" s="4" t="s">
        <v>168</v>
      </c>
    </row>
    <row r="3" customFormat="false" ht="51.75" hidden="false" customHeight="true" outlineLevel="0" collapsed="false">
      <c r="A3" s="3" t="s">
        <v>169</v>
      </c>
      <c r="B3" s="5" t="s">
        <v>170</v>
      </c>
    </row>
    <row r="4" customFormat="false" ht="51.75" hidden="false" customHeight="true" outlineLevel="0" collapsed="false">
      <c r="A4" s="3" t="s">
        <v>171</v>
      </c>
      <c r="B4" s="4" t="s">
        <v>172</v>
      </c>
    </row>
    <row r="5" customFormat="false" ht="51.75" hidden="false" customHeight="true" outlineLevel="0" collapsed="false">
      <c r="A5" s="3" t="s">
        <v>173</v>
      </c>
      <c r="B5" s="5" t="s">
        <v>174</v>
      </c>
    </row>
    <row r="6" customFormat="false" ht="51.75" hidden="false" customHeight="true" outlineLevel="0" collapsed="false">
      <c r="A6" s="3" t="s">
        <v>175</v>
      </c>
      <c r="B6" s="4" t="s">
        <v>176</v>
      </c>
    </row>
    <row r="7" customFormat="false" ht="51.75" hidden="false" customHeight="true" outlineLevel="0" collapsed="false">
      <c r="A7" s="3" t="s">
        <v>177</v>
      </c>
      <c r="B7" s="5" t="s">
        <v>178</v>
      </c>
    </row>
    <row r="8" customFormat="false" ht="51.75" hidden="false" customHeight="true" outlineLevel="0" collapsed="false">
      <c r="A8" s="3" t="s">
        <v>179</v>
      </c>
      <c r="B8" s="4" t="s">
        <v>180</v>
      </c>
    </row>
    <row r="9" customFormat="false" ht="51.75" hidden="false" customHeight="true" outlineLevel="0" collapsed="false">
      <c r="A9" s="3" t="s">
        <v>181</v>
      </c>
      <c r="B9" s="5" t="s">
        <v>182</v>
      </c>
    </row>
    <row r="10" customFormat="false" ht="51.75" hidden="false" customHeight="true" outlineLevel="0" collapsed="false">
      <c r="A10" s="3" t="s">
        <v>183</v>
      </c>
      <c r="B10" s="4" t="s">
        <v>184</v>
      </c>
    </row>
    <row r="11" customFormat="false" ht="51.75" hidden="false" customHeight="true" outlineLevel="0" collapsed="false">
      <c r="A11" s="3" t="s">
        <v>185</v>
      </c>
      <c r="B11" s="5" t="s">
        <v>186</v>
      </c>
    </row>
    <row r="12" customFormat="false" ht="109.5" hidden="false" customHeight="true" outlineLevel="0" collapsed="false">
      <c r="A12" s="46" t="s">
        <v>187</v>
      </c>
      <c r="B12" s="47" t="s">
        <v>188</v>
      </c>
    </row>
    <row r="13" customFormat="false" ht="109.5" hidden="false" customHeight="true" outlineLevel="0" collapsed="false">
      <c r="A13" s="46" t="s">
        <v>189</v>
      </c>
      <c r="B13" s="47" t="s">
        <v>190</v>
      </c>
    </row>
    <row r="14" customFormat="false" ht="109.5" hidden="false" customHeight="true" outlineLevel="0" collapsed="false">
      <c r="A14" s="46" t="s">
        <v>191</v>
      </c>
      <c r="B14" s="47" t="s">
        <v>192</v>
      </c>
    </row>
    <row r="15" customFormat="false" ht="109.5" hidden="false" customHeight="true" outlineLevel="0" collapsed="false">
      <c r="A15" s="46" t="s">
        <v>193</v>
      </c>
      <c r="B15" s="47" t="s">
        <v>194</v>
      </c>
    </row>
    <row r="16" customFormat="false" ht="109.5" hidden="false" customHeight="true" outlineLevel="0" collapsed="false">
      <c r="A16" s="46" t="s">
        <v>195</v>
      </c>
      <c r="B16" s="47" t="s">
        <v>196</v>
      </c>
    </row>
    <row r="17" customFormat="false" ht="109.5" hidden="false" customHeight="true" outlineLevel="0" collapsed="false">
      <c r="A17" s="46" t="s">
        <v>197</v>
      </c>
      <c r="B17" s="47" t="s">
        <v>198</v>
      </c>
    </row>
    <row r="18" customFormat="false" ht="109.5" hidden="false" customHeight="true" outlineLevel="0" collapsed="false">
      <c r="A18" s="46" t="s">
        <v>199</v>
      </c>
      <c r="B18" s="47" t="s">
        <v>200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0"/>
    <col collapsed="false" customWidth="true" hidden="false" outlineLevel="0" max="3" min="3" style="1" width="32"/>
    <col collapsed="false" customWidth="true" hidden="false" outlineLevel="0" max="4" min="4" style="1" width="22"/>
  </cols>
  <sheetData>
    <row r="1" customFormat="false" ht="31.5" hidden="false" customHeight="true" outlineLevel="0" collapsed="false">
      <c r="A1" s="48" t="s">
        <v>201</v>
      </c>
      <c r="B1" s="48"/>
      <c r="C1" s="48"/>
      <c r="D1" s="48"/>
    </row>
    <row r="2" customFormat="false" ht="91.5" hidden="false" customHeight="true" outlineLevel="0" collapsed="false">
      <c r="A2" s="49" t="s">
        <v>202</v>
      </c>
      <c r="B2" s="49"/>
      <c r="C2" s="49"/>
      <c r="D2" s="49"/>
    </row>
    <row r="4" customFormat="false" ht="21.75" hidden="false" customHeight="true" outlineLevel="0" collapsed="false">
      <c r="A4" s="50" t="s">
        <v>203</v>
      </c>
      <c r="B4" s="50"/>
      <c r="C4" s="50"/>
      <c r="D4" s="50"/>
    </row>
    <row r="5" customFormat="false" ht="15" hidden="false" customHeight="true" outlineLevel="0" collapsed="false">
      <c r="A5" s="8" t="s">
        <v>204</v>
      </c>
      <c r="B5" s="8" t="s">
        <v>205</v>
      </c>
      <c r="C5" s="8"/>
      <c r="D5" s="8"/>
    </row>
    <row r="6" customFormat="false" ht="49.5" hidden="false" customHeight="true" outlineLevel="0" collapsed="false">
      <c r="A6" s="51" t="s">
        <v>206</v>
      </c>
      <c r="B6" s="52" t="s">
        <v>207</v>
      </c>
      <c r="C6" s="52"/>
      <c r="D6" s="52"/>
    </row>
    <row r="7" customFormat="false" ht="49.5" hidden="false" customHeight="true" outlineLevel="0" collapsed="false">
      <c r="A7" s="53" t="s">
        <v>208</v>
      </c>
      <c r="B7" s="52" t="s">
        <v>209</v>
      </c>
      <c r="C7" s="52"/>
      <c r="D7" s="52"/>
    </row>
    <row r="8" customFormat="false" ht="49.5" hidden="false" customHeight="true" outlineLevel="0" collapsed="false">
      <c r="A8" s="51" t="s">
        <v>210</v>
      </c>
      <c r="B8" s="52" t="s">
        <v>211</v>
      </c>
      <c r="C8" s="52"/>
      <c r="D8" s="52"/>
    </row>
    <row r="9" customFormat="false" ht="49.5" hidden="false" customHeight="true" outlineLevel="0" collapsed="false">
      <c r="A9" s="53" t="s">
        <v>212</v>
      </c>
      <c r="B9" s="52" t="s">
        <v>213</v>
      </c>
      <c r="C9" s="52"/>
      <c r="D9" s="52"/>
    </row>
    <row r="10" customFormat="false" ht="49.5" hidden="false" customHeight="true" outlineLevel="0" collapsed="false">
      <c r="A10" s="51" t="s">
        <v>214</v>
      </c>
      <c r="B10" s="52" t="s">
        <v>215</v>
      </c>
      <c r="C10" s="52"/>
      <c r="D10" s="52"/>
    </row>
    <row r="11" customFormat="false" ht="49.5" hidden="false" customHeight="true" outlineLevel="0" collapsed="false">
      <c r="A11" s="53" t="s">
        <v>216</v>
      </c>
      <c r="B11" s="52" t="s">
        <v>217</v>
      </c>
      <c r="C11" s="52"/>
      <c r="D11" s="52"/>
    </row>
    <row r="12" customFormat="false" ht="49.5" hidden="false" customHeight="true" outlineLevel="0" collapsed="false">
      <c r="A12" s="51" t="s">
        <v>218</v>
      </c>
      <c r="B12" s="52" t="s">
        <v>219</v>
      </c>
      <c r="C12" s="52"/>
      <c r="D12" s="52"/>
    </row>
    <row r="13" customFormat="false" ht="49.5" hidden="false" customHeight="true" outlineLevel="0" collapsed="false">
      <c r="A13" s="53" t="s">
        <v>220</v>
      </c>
      <c r="B13" s="52" t="s">
        <v>221</v>
      </c>
      <c r="C13" s="52"/>
      <c r="D13" s="52"/>
    </row>
    <row r="14" customFormat="false" ht="49.5" hidden="false" customHeight="true" outlineLevel="0" collapsed="false">
      <c r="A14" s="51" t="s">
        <v>222</v>
      </c>
      <c r="B14" s="52" t="s">
        <v>223</v>
      </c>
      <c r="C14" s="52"/>
      <c r="D14" s="52"/>
    </row>
    <row r="15" customFormat="false" ht="49.5" hidden="false" customHeight="true" outlineLevel="0" collapsed="false">
      <c r="A15" s="53" t="s">
        <v>224</v>
      </c>
      <c r="B15" s="52" t="s">
        <v>225</v>
      </c>
      <c r="C15" s="52"/>
      <c r="D15" s="52"/>
    </row>
    <row r="16" customFormat="false" ht="49.5" hidden="false" customHeight="true" outlineLevel="0" collapsed="false">
      <c r="A16" s="51" t="s">
        <v>226</v>
      </c>
      <c r="B16" s="52" t="s">
        <v>227</v>
      </c>
      <c r="C16" s="52"/>
      <c r="D16" s="52"/>
    </row>
    <row r="17" customFormat="false" ht="49.5" hidden="false" customHeight="true" outlineLevel="0" collapsed="false">
      <c r="A17" s="53" t="s">
        <v>228</v>
      </c>
      <c r="B17" s="52" t="s">
        <v>229</v>
      </c>
      <c r="C17" s="52"/>
      <c r="D17" s="52"/>
    </row>
    <row r="18" customFormat="false" ht="49.5" hidden="false" customHeight="true" outlineLevel="0" collapsed="false">
      <c r="A18" s="51" t="s">
        <v>230</v>
      </c>
      <c r="B18" s="52" t="s">
        <v>231</v>
      </c>
      <c r="C18" s="52"/>
      <c r="D18" s="52"/>
    </row>
    <row r="19" customFormat="false" ht="49.5" hidden="false" customHeight="true" outlineLevel="0" collapsed="false">
      <c r="A19" s="53" t="s">
        <v>232</v>
      </c>
      <c r="B19" s="52" t="s">
        <v>233</v>
      </c>
      <c r="C19" s="52"/>
      <c r="D19" s="52"/>
    </row>
    <row r="21" customFormat="false" ht="21.75" hidden="false" customHeight="true" outlineLevel="0" collapsed="false">
      <c r="A21" s="50" t="s">
        <v>234</v>
      </c>
      <c r="B21" s="50"/>
      <c r="C21" s="50"/>
      <c r="D21" s="50"/>
    </row>
    <row r="22" customFormat="false" ht="180" hidden="false" customHeight="true" outlineLevel="0" collapsed="false">
      <c r="A22" s="54" t="s">
        <v>235</v>
      </c>
      <c r="B22" s="54"/>
      <c r="C22" s="54"/>
      <c r="D22" s="54"/>
    </row>
    <row r="24" customFormat="false" ht="21.75" hidden="false" customHeight="true" outlineLevel="0" collapsed="false">
      <c r="A24" s="50" t="s">
        <v>236</v>
      </c>
      <c r="B24" s="50"/>
      <c r="C24" s="50"/>
      <c r="D24" s="50"/>
    </row>
    <row r="25" customFormat="false" ht="199.5" hidden="false" customHeight="true" outlineLevel="0" collapsed="false">
      <c r="A25" s="55" t="s">
        <v>237</v>
      </c>
      <c r="B25" s="55"/>
      <c r="C25" s="55"/>
      <c r="D25" s="55"/>
    </row>
    <row r="27" customFormat="false" ht="21.75" hidden="false" customHeight="true" outlineLevel="0" collapsed="false">
      <c r="A27" s="50" t="s">
        <v>238</v>
      </c>
      <c r="B27" s="50"/>
      <c r="C27" s="50"/>
      <c r="D27" s="50"/>
    </row>
    <row r="28" customFormat="false" ht="15" hidden="false" customHeight="true" outlineLevel="0" collapsed="false">
      <c r="A28" s="8" t="s">
        <v>239</v>
      </c>
      <c r="B28" s="8" t="s">
        <v>240</v>
      </c>
      <c r="C28" s="8" t="s">
        <v>241</v>
      </c>
      <c r="D28" s="8" t="s">
        <v>36</v>
      </c>
    </row>
    <row r="29" customFormat="false" ht="48" hidden="false" customHeight="true" outlineLevel="0" collapsed="false">
      <c r="A29" s="53" t="s">
        <v>242</v>
      </c>
      <c r="B29" s="56" t="s">
        <v>243</v>
      </c>
      <c r="C29" s="56" t="s">
        <v>244</v>
      </c>
      <c r="D29" s="56" t="s">
        <v>245</v>
      </c>
    </row>
    <row r="30" customFormat="false" ht="48" hidden="false" customHeight="true" outlineLevel="0" collapsed="false">
      <c r="A30" s="51" t="s">
        <v>73</v>
      </c>
      <c r="B30" s="57" t="s">
        <v>246</v>
      </c>
      <c r="C30" s="57" t="s">
        <v>244</v>
      </c>
      <c r="D30" s="57" t="s">
        <v>245</v>
      </c>
    </row>
    <row r="31" customFormat="false" ht="48" hidden="false" customHeight="true" outlineLevel="0" collapsed="false">
      <c r="A31" s="53" t="s">
        <v>247</v>
      </c>
      <c r="B31" s="56" t="s">
        <v>248</v>
      </c>
      <c r="C31" s="56" t="s">
        <v>249</v>
      </c>
      <c r="D31" s="56" t="s">
        <v>245</v>
      </c>
    </row>
    <row r="32" customFormat="false" ht="48" hidden="false" customHeight="true" outlineLevel="0" collapsed="false">
      <c r="A32" s="51" t="s">
        <v>250</v>
      </c>
      <c r="B32" s="57" t="s">
        <v>251</v>
      </c>
      <c r="C32" s="57" t="s">
        <v>252</v>
      </c>
      <c r="D32" s="57" t="s">
        <v>245</v>
      </c>
    </row>
    <row r="33" customFormat="false" ht="48" hidden="false" customHeight="true" outlineLevel="0" collapsed="false">
      <c r="A33" s="53" t="s">
        <v>253</v>
      </c>
      <c r="B33" s="56" t="s">
        <v>254</v>
      </c>
      <c r="C33" s="56" t="s">
        <v>244</v>
      </c>
      <c r="D33" s="56" t="s">
        <v>245</v>
      </c>
    </row>
    <row r="34" customFormat="false" ht="48" hidden="false" customHeight="true" outlineLevel="0" collapsed="false">
      <c r="A34" s="46" t="s">
        <v>255</v>
      </c>
      <c r="B34" s="47" t="s">
        <v>256</v>
      </c>
      <c r="C34" s="47" t="s">
        <v>257</v>
      </c>
      <c r="D34" s="47" t="s">
        <v>258</v>
      </c>
    </row>
    <row r="35" customFormat="false" ht="48" hidden="false" customHeight="true" outlineLevel="0" collapsed="false">
      <c r="A35" s="46" t="s">
        <v>259</v>
      </c>
      <c r="B35" s="47" t="s">
        <v>260</v>
      </c>
      <c r="C35" s="47" t="s">
        <v>244</v>
      </c>
      <c r="D35" s="47" t="s">
        <v>261</v>
      </c>
    </row>
    <row r="36" customFormat="false" ht="48" hidden="false" customHeight="true" outlineLevel="0" collapsed="false">
      <c r="A36" s="46" t="s">
        <v>262</v>
      </c>
      <c r="B36" s="47" t="s">
        <v>263</v>
      </c>
      <c r="C36" s="47" t="s">
        <v>244</v>
      </c>
      <c r="D36" s="47" t="s">
        <v>264</v>
      </c>
    </row>
    <row r="37" customFormat="false" ht="48" hidden="false" customHeight="true" outlineLevel="0" collapsed="false">
      <c r="A37" s="46" t="s">
        <v>265</v>
      </c>
      <c r="B37" s="47" t="s">
        <v>266</v>
      </c>
      <c r="C37" s="47" t="s">
        <v>244</v>
      </c>
      <c r="D37" s="47" t="s">
        <v>264</v>
      </c>
    </row>
  </sheetData>
  <mergeCells count="22">
    <mergeCell ref="A1:D1"/>
    <mergeCell ref="A2:D2"/>
    <mergeCell ref="A4:D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A21:D21"/>
    <mergeCell ref="A22:D22"/>
    <mergeCell ref="A24:D24"/>
    <mergeCell ref="A25:D25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2"/>
    <col collapsed="false" customWidth="true" hidden="false" outlineLevel="0" max="3" min="3" style="1" width="38"/>
    <col collapsed="false" customWidth="true" hidden="false" outlineLevel="0" max="4" min="4" style="1" width="60"/>
  </cols>
  <sheetData>
    <row r="1" customFormat="false" ht="31.5" hidden="false" customHeight="true" outlineLevel="0" collapsed="false">
      <c r="A1" s="48" t="s">
        <v>267</v>
      </c>
      <c r="B1" s="48"/>
      <c r="C1" s="48"/>
      <c r="D1" s="48"/>
    </row>
    <row r="2" customFormat="false" ht="57.75" hidden="false" customHeight="true" outlineLevel="0" collapsed="false">
      <c r="A2" s="49" t="s">
        <v>268</v>
      </c>
      <c r="B2" s="49"/>
      <c r="C2" s="49"/>
      <c r="D2" s="49"/>
    </row>
    <row r="4" customFormat="false" ht="21.75" hidden="false" customHeight="true" outlineLevel="0" collapsed="false">
      <c r="A4" s="50" t="s">
        <v>269</v>
      </c>
      <c r="B4" s="50"/>
      <c r="C4" s="50"/>
      <c r="D4" s="50"/>
    </row>
    <row r="5" customFormat="false" ht="15" hidden="false" customHeight="true" outlineLevel="0" collapsed="false">
      <c r="A5" s="8" t="s">
        <v>270</v>
      </c>
      <c r="B5" s="8" t="s">
        <v>271</v>
      </c>
      <c r="C5" s="8" t="s">
        <v>272</v>
      </c>
      <c r="D5" s="8" t="s">
        <v>273</v>
      </c>
    </row>
    <row r="6" customFormat="false" ht="91.5" hidden="false" customHeight="true" outlineLevel="0" collapsed="false">
      <c r="A6" s="51" t="s">
        <v>274</v>
      </c>
      <c r="B6" s="57" t="s">
        <v>275</v>
      </c>
      <c r="C6" s="57" t="s">
        <v>276</v>
      </c>
      <c r="D6" s="57" t="s">
        <v>277</v>
      </c>
    </row>
    <row r="7" customFormat="false" ht="91.5" hidden="false" customHeight="true" outlineLevel="0" collapsed="false">
      <c r="A7" s="53" t="s">
        <v>274</v>
      </c>
      <c r="B7" s="56" t="s">
        <v>278</v>
      </c>
      <c r="C7" s="56" t="s">
        <v>279</v>
      </c>
      <c r="D7" s="56" t="s">
        <v>280</v>
      </c>
    </row>
    <row r="8" customFormat="false" ht="91.5" hidden="false" customHeight="true" outlineLevel="0" collapsed="false">
      <c r="A8" s="51" t="s">
        <v>281</v>
      </c>
      <c r="B8" s="57" t="s">
        <v>282</v>
      </c>
      <c r="C8" s="57" t="s">
        <v>283</v>
      </c>
      <c r="D8" s="57" t="s">
        <v>284</v>
      </c>
    </row>
    <row r="9" customFormat="false" ht="91.5" hidden="false" customHeight="true" outlineLevel="0" collapsed="false">
      <c r="A9" s="53" t="s">
        <v>281</v>
      </c>
      <c r="B9" s="56" t="s">
        <v>285</v>
      </c>
      <c r="C9" s="56" t="s">
        <v>286</v>
      </c>
      <c r="D9" s="56" t="s">
        <v>287</v>
      </c>
    </row>
    <row r="10" customFormat="false" ht="91.5" hidden="false" customHeight="true" outlineLevel="0" collapsed="false">
      <c r="A10" s="51" t="s">
        <v>281</v>
      </c>
      <c r="B10" s="57" t="s">
        <v>288</v>
      </c>
      <c r="C10" s="57" t="s">
        <v>289</v>
      </c>
      <c r="D10" s="57" t="s">
        <v>290</v>
      </c>
    </row>
    <row r="11" customFormat="false" ht="91.5" hidden="false" customHeight="true" outlineLevel="0" collapsed="false">
      <c r="A11" s="53" t="s">
        <v>291</v>
      </c>
      <c r="B11" s="56" t="s">
        <v>292</v>
      </c>
      <c r="C11" s="56" t="s">
        <v>293</v>
      </c>
      <c r="D11" s="56" t="s">
        <v>294</v>
      </c>
    </row>
    <row r="12" customFormat="false" ht="91.5" hidden="false" customHeight="true" outlineLevel="0" collapsed="false">
      <c r="A12" s="51" t="s">
        <v>295</v>
      </c>
      <c r="B12" s="57" t="s">
        <v>296</v>
      </c>
      <c r="C12" s="57" t="s">
        <v>297</v>
      </c>
      <c r="D12" s="57" t="s">
        <v>298</v>
      </c>
    </row>
    <row r="13" customFormat="false" ht="91.5" hidden="false" customHeight="true" outlineLevel="0" collapsed="false">
      <c r="A13" s="53" t="s">
        <v>299</v>
      </c>
      <c r="B13" s="56" t="s">
        <v>300</v>
      </c>
      <c r="C13" s="56" t="s">
        <v>301</v>
      </c>
      <c r="D13" s="56" t="s">
        <v>302</v>
      </c>
    </row>
    <row r="14" customFormat="false" ht="91.5" hidden="false" customHeight="true" outlineLevel="0" collapsed="false">
      <c r="A14" s="51" t="s">
        <v>303</v>
      </c>
      <c r="B14" s="57" t="s">
        <v>304</v>
      </c>
      <c r="C14" s="57" t="s">
        <v>305</v>
      </c>
      <c r="D14" s="57" t="s">
        <v>306</v>
      </c>
    </row>
    <row r="15" customFormat="false" ht="91.5" hidden="false" customHeight="true" outlineLevel="0" collapsed="false">
      <c r="A15" s="53" t="s">
        <v>307</v>
      </c>
      <c r="B15" s="56" t="s">
        <v>308</v>
      </c>
      <c r="C15" s="56" t="s">
        <v>309</v>
      </c>
      <c r="D15" s="56" t="s">
        <v>310</v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80"/>
  </cols>
  <sheetData>
    <row r="1" customFormat="false" ht="31.5" hidden="false" customHeight="true" outlineLevel="0" collapsed="false">
      <c r="A1" s="48" t="s">
        <v>311</v>
      </c>
      <c r="B1" s="48"/>
      <c r="C1" s="48"/>
      <c r="D1" s="48"/>
    </row>
    <row r="2" customFormat="false" ht="109.5" hidden="false" customHeight="true" outlineLevel="0" collapsed="false">
      <c r="A2" s="49" t="s">
        <v>312</v>
      </c>
      <c r="B2" s="49"/>
      <c r="C2" s="49"/>
      <c r="D2" s="49"/>
    </row>
    <row r="4" customFormat="false" ht="15" hidden="false" customHeight="true" outlineLevel="0" collapsed="false">
      <c r="A4" s="8" t="s">
        <v>313</v>
      </c>
      <c r="B4" s="8" t="s">
        <v>240</v>
      </c>
      <c r="C4" s="8" t="s">
        <v>314</v>
      </c>
      <c r="D4" s="8" t="s">
        <v>149</v>
      </c>
    </row>
    <row r="5" customFormat="false" ht="78" hidden="false" customHeight="true" outlineLevel="0" collapsed="false">
      <c r="A5" s="46" t="s">
        <v>315</v>
      </c>
      <c r="B5" s="47" t="s">
        <v>316</v>
      </c>
      <c r="C5" s="47" t="s">
        <v>317</v>
      </c>
      <c r="D5" s="47" t="s">
        <v>318</v>
      </c>
    </row>
    <row r="6" customFormat="false" ht="78" hidden="false" customHeight="true" outlineLevel="0" collapsed="false">
      <c r="A6" s="46" t="s">
        <v>319</v>
      </c>
      <c r="B6" s="47" t="s">
        <v>316</v>
      </c>
      <c r="C6" s="47" t="s">
        <v>320</v>
      </c>
      <c r="D6" s="47" t="s">
        <v>321</v>
      </c>
    </row>
    <row r="7" customFormat="false" ht="78" hidden="false" customHeight="true" outlineLevel="0" collapsed="false">
      <c r="A7" s="46" t="s">
        <v>322</v>
      </c>
      <c r="B7" s="47" t="s">
        <v>323</v>
      </c>
      <c r="C7" s="47" t="s">
        <v>324</v>
      </c>
      <c r="D7" s="47" t="s">
        <v>325</v>
      </c>
    </row>
    <row r="8" customFormat="false" ht="78" hidden="false" customHeight="true" outlineLevel="0" collapsed="false">
      <c r="A8" s="46" t="s">
        <v>326</v>
      </c>
      <c r="B8" s="47" t="s">
        <v>323</v>
      </c>
      <c r="C8" s="47" t="s">
        <v>327</v>
      </c>
      <c r="D8" s="47" t="s">
        <v>328</v>
      </c>
    </row>
    <row r="9" customFormat="false" ht="78" hidden="false" customHeight="true" outlineLevel="0" collapsed="false">
      <c r="A9" s="51" t="s">
        <v>329</v>
      </c>
      <c r="B9" s="57" t="s">
        <v>330</v>
      </c>
      <c r="C9" s="57" t="s">
        <v>331</v>
      </c>
      <c r="D9" s="57" t="s">
        <v>332</v>
      </c>
    </row>
    <row r="10" customFormat="false" ht="78" hidden="false" customHeight="true" outlineLevel="0" collapsed="false">
      <c r="A10" s="53" t="s">
        <v>333</v>
      </c>
      <c r="B10" s="56" t="s">
        <v>330</v>
      </c>
      <c r="C10" s="56" t="s">
        <v>334</v>
      </c>
      <c r="D10" s="56" t="s">
        <v>335</v>
      </c>
    </row>
    <row r="11" customFormat="false" ht="78" hidden="false" customHeight="true" outlineLevel="0" collapsed="false">
      <c r="A11" s="51" t="s">
        <v>336</v>
      </c>
      <c r="B11" s="57" t="s">
        <v>330</v>
      </c>
      <c r="C11" s="57" t="s">
        <v>337</v>
      </c>
      <c r="D11" s="57" t="s">
        <v>338</v>
      </c>
    </row>
    <row r="12" customFormat="false" ht="78" hidden="false" customHeight="true" outlineLevel="0" collapsed="false">
      <c r="A12" s="53" t="s">
        <v>339</v>
      </c>
      <c r="B12" s="56" t="s">
        <v>330</v>
      </c>
      <c r="C12" s="56" t="s">
        <v>340</v>
      </c>
      <c r="D12" s="56" t="s">
        <v>341</v>
      </c>
    </row>
    <row r="13" customFormat="false" ht="78" hidden="false" customHeight="true" outlineLevel="0" collapsed="false">
      <c r="A13" s="51" t="s">
        <v>342</v>
      </c>
      <c r="B13" s="57" t="s">
        <v>343</v>
      </c>
      <c r="C13" s="57" t="s">
        <v>344</v>
      </c>
      <c r="D13" s="57" t="s">
        <v>345</v>
      </c>
    </row>
    <row r="14" customFormat="false" ht="78" hidden="false" customHeight="true" outlineLevel="0" collapsed="false">
      <c r="A14" s="53" t="s">
        <v>346</v>
      </c>
      <c r="B14" s="56" t="s">
        <v>343</v>
      </c>
      <c r="C14" s="56" t="s">
        <v>347</v>
      </c>
      <c r="D14" s="56" t="s">
        <v>348</v>
      </c>
    </row>
    <row r="15" customFormat="false" ht="78" hidden="false" customHeight="true" outlineLevel="0" collapsed="false">
      <c r="A15" s="51" t="s">
        <v>349</v>
      </c>
      <c r="B15" s="57" t="s">
        <v>350</v>
      </c>
      <c r="C15" s="57" t="s">
        <v>351</v>
      </c>
      <c r="D15" s="57" t="s">
        <v>352</v>
      </c>
    </row>
    <row r="16" customFormat="false" ht="78" hidden="false" customHeight="true" outlineLevel="0" collapsed="false">
      <c r="A16" s="53" t="s">
        <v>353</v>
      </c>
      <c r="B16" s="56" t="s">
        <v>350</v>
      </c>
      <c r="C16" s="56" t="s">
        <v>351</v>
      </c>
      <c r="D16" s="56" t="s">
        <v>354</v>
      </c>
    </row>
    <row r="17" customFormat="false" ht="78" hidden="false" customHeight="true" outlineLevel="0" collapsed="false">
      <c r="A17" s="51" t="s">
        <v>355</v>
      </c>
      <c r="B17" s="57" t="s">
        <v>330</v>
      </c>
      <c r="C17" s="57" t="s">
        <v>337</v>
      </c>
      <c r="D17" s="57" t="s">
        <v>356</v>
      </c>
    </row>
    <row r="18" customFormat="false" ht="78" hidden="false" customHeight="true" outlineLevel="0" collapsed="false">
      <c r="A18" s="53" t="s">
        <v>357</v>
      </c>
      <c r="B18" s="56" t="s">
        <v>330</v>
      </c>
      <c r="C18" s="56" t="s">
        <v>358</v>
      </c>
      <c r="D18" s="56" t="s">
        <v>359</v>
      </c>
    </row>
    <row r="19" customFormat="false" ht="109.5" hidden="false" customHeight="true" outlineLevel="0" collapsed="false">
      <c r="A19" s="46" t="s">
        <v>360</v>
      </c>
      <c r="B19" s="47" t="s">
        <v>361</v>
      </c>
      <c r="C19" s="47" t="s">
        <v>362</v>
      </c>
      <c r="D19" s="47" t="s">
        <v>363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2026-04-20T23:22:44Z</dcterms:created>
  <dc:creator>openpyxl</dc:creator>
  <dc:description/>
  <dc:language>en-US</dc:language>
  <cp:lastModifiedBy/>
  <dcterms:modified xsi:type="dcterms:W3CDTF">2026-05-06T15:14:27Z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